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daurn/Downloads/"/>
    </mc:Choice>
  </mc:AlternateContent>
  <xr:revisionPtr revIDLastSave="0" documentId="13_ncr:1_{8DF6F27D-3A68-854D-A534-DBFD942CF308}" xr6:coauthVersionLast="47" xr6:coauthVersionMax="47" xr10:uidLastSave="{00000000-0000-0000-0000-000000000000}"/>
  <bookViews>
    <workbookView xWindow="0" yWindow="500" windowWidth="28800" windowHeight="15920" activeTab="3" xr2:uid="{D0652821-C6A4-458E-81BF-BBA945BD5C25}"/>
  </bookViews>
  <sheets>
    <sheet name="SAP GDM&amp;PE" sheetId="1" r:id="rId1"/>
    <sheet name="SAP MIG" sheetId="4" r:id="rId2"/>
    <sheet name="SAP DU" sheetId="5" r:id="rId3"/>
    <sheet name="SAP SAFETY" sheetId="6" r:id="rId4"/>
  </sheets>
  <definedNames>
    <definedName name="display_week" localSheetId="2">'SAP DU'!$D$4</definedName>
    <definedName name="display_week" localSheetId="1">'SAP MIG'!$D$4</definedName>
    <definedName name="display_week" localSheetId="3">'SAP SAFETY'!$D$4</definedName>
    <definedName name="display_week">'SAP GDM&amp;PE'!$D$4</definedName>
    <definedName name="project_start" localSheetId="2">'SAP DU'!$D$3</definedName>
    <definedName name="project_start" localSheetId="1">'SAP MIG'!$D$3</definedName>
    <definedName name="project_start" localSheetId="3">'SAP SAFETY'!$D$3</definedName>
    <definedName name="project_start">'SAP GDM&amp;PE'!$D$3</definedName>
    <definedName name="task_end" localSheetId="2">'SAP DU'!$E1</definedName>
    <definedName name="task_end" localSheetId="0">'SAP GDM&amp;PE'!$E1</definedName>
    <definedName name="task_end" localSheetId="1">'SAP MIG'!$E1</definedName>
    <definedName name="task_end" localSheetId="3">'SAP SAFETY'!$E1</definedName>
    <definedName name="task_progress" localSheetId="2">'SAP DU'!$C1</definedName>
    <definedName name="task_progress" localSheetId="0">'SAP GDM&amp;PE'!$C1</definedName>
    <definedName name="task_progress" localSheetId="1">'SAP MIG'!$C1</definedName>
    <definedName name="task_progress" localSheetId="3">'SAP SAFETY'!$C1</definedName>
    <definedName name="task_start" localSheetId="2">'SAP DU'!$D1</definedName>
    <definedName name="task_start" localSheetId="0">'SAP GDM&amp;PE'!$D1</definedName>
    <definedName name="task_start" localSheetId="1">'SAP MIG'!$D1</definedName>
    <definedName name="task_start" localSheetId="3">'SAP SAFETY'!$D1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G5" i="5"/>
  <c r="G6" i="5" s="1"/>
  <c r="G5" i="4"/>
  <c r="G4" i="4" s="1"/>
  <c r="G5" i="1"/>
  <c r="G6" i="1" s="1"/>
  <c r="H5" i="6" l="1"/>
  <c r="G6" i="6"/>
  <c r="G4" i="6"/>
  <c r="H5" i="5"/>
  <c r="G4" i="5"/>
  <c r="G6" i="4"/>
  <c r="H5" i="4"/>
  <c r="G4" i="1"/>
  <c r="H5" i="1"/>
  <c r="I5" i="6" l="1"/>
  <c r="H6" i="6"/>
  <c r="H6" i="5"/>
  <c r="I5" i="5"/>
  <c r="I5" i="4"/>
  <c r="H6" i="4"/>
  <c r="I5" i="1"/>
  <c r="H6" i="1"/>
  <c r="I6" i="6" l="1"/>
  <c r="J5" i="6"/>
  <c r="J5" i="5"/>
  <c r="I6" i="5"/>
  <c r="J5" i="4"/>
  <c r="I6" i="4"/>
  <c r="J5" i="1"/>
  <c r="I6" i="1"/>
  <c r="K5" i="6" l="1"/>
  <c r="J6" i="6"/>
  <c r="K5" i="5"/>
  <c r="J6" i="5"/>
  <c r="K5" i="4"/>
  <c r="J6" i="4"/>
  <c r="K5" i="1"/>
  <c r="J6" i="1"/>
  <c r="L5" i="6" l="1"/>
  <c r="K6" i="6"/>
  <c r="L5" i="5"/>
  <c r="K6" i="5"/>
  <c r="L5" i="4"/>
  <c r="K6" i="4"/>
  <c r="L5" i="1"/>
  <c r="K6" i="1"/>
  <c r="M5" i="6" l="1"/>
  <c r="L6" i="6"/>
  <c r="M5" i="5"/>
  <c r="L6" i="5"/>
  <c r="L6" i="4"/>
  <c r="M5" i="4"/>
  <c r="M5" i="1"/>
  <c r="L6" i="1"/>
  <c r="N5" i="6" l="1"/>
  <c r="M6" i="6"/>
  <c r="N5" i="5"/>
  <c r="M6" i="5"/>
  <c r="N5" i="4"/>
  <c r="M6" i="4"/>
  <c r="M6" i="1"/>
  <c r="N5" i="1"/>
  <c r="N6" i="6" l="1"/>
  <c r="N4" i="6"/>
  <c r="O5" i="6"/>
  <c r="N6" i="5"/>
  <c r="N4" i="5"/>
  <c r="O5" i="5"/>
  <c r="N6" i="4"/>
  <c r="N4" i="4"/>
  <c r="O5" i="4"/>
  <c r="O5" i="1"/>
  <c r="O6" i="1" s="1"/>
  <c r="N4" i="1"/>
  <c r="N6" i="1"/>
  <c r="P5" i="6" l="1"/>
  <c r="O6" i="6"/>
  <c r="P5" i="5"/>
  <c r="O6" i="5"/>
  <c r="P5" i="4"/>
  <c r="O6" i="4"/>
  <c r="P5" i="1"/>
  <c r="Q5" i="6" l="1"/>
  <c r="P6" i="6"/>
  <c r="Q5" i="5"/>
  <c r="P6" i="5"/>
  <c r="Q5" i="4"/>
  <c r="P6" i="4"/>
  <c r="Q5" i="1"/>
  <c r="P6" i="1"/>
  <c r="Q6" i="6" l="1"/>
  <c r="R5" i="6"/>
  <c r="Q6" i="5"/>
  <c r="R5" i="5"/>
  <c r="R5" i="4"/>
  <c r="Q6" i="4"/>
  <c r="R5" i="1"/>
  <c r="Q6" i="1"/>
  <c r="R6" i="6" l="1"/>
  <c r="S5" i="6"/>
  <c r="S5" i="5"/>
  <c r="R6" i="5"/>
  <c r="S5" i="4"/>
  <c r="R6" i="4"/>
  <c r="R6" i="1"/>
  <c r="S5" i="1"/>
  <c r="T5" i="6" l="1"/>
  <c r="S6" i="6"/>
  <c r="T5" i="5"/>
  <c r="S6" i="5"/>
  <c r="T5" i="4"/>
  <c r="S6" i="4"/>
  <c r="S6" i="1"/>
  <c r="T5" i="1"/>
  <c r="U5" i="6" l="1"/>
  <c r="T6" i="6"/>
  <c r="U5" i="5"/>
  <c r="T6" i="5"/>
  <c r="T6" i="4"/>
  <c r="U5" i="4"/>
  <c r="U5" i="1"/>
  <c r="T6" i="1"/>
  <c r="V5" i="6" l="1"/>
  <c r="U6" i="6"/>
  <c r="U4" i="6"/>
  <c r="V5" i="5"/>
  <c r="U6" i="5"/>
  <c r="U4" i="5"/>
  <c r="U6" i="4"/>
  <c r="U4" i="4"/>
  <c r="V5" i="4"/>
  <c r="U4" i="1"/>
  <c r="U6" i="1"/>
  <c r="V5" i="1"/>
  <c r="V6" i="6" l="1"/>
  <c r="W5" i="6"/>
  <c r="V6" i="5"/>
  <c r="W5" i="5"/>
  <c r="V6" i="4"/>
  <c r="W5" i="4"/>
  <c r="W5" i="1"/>
  <c r="V6" i="1"/>
  <c r="X5" i="6" l="1"/>
  <c r="W6" i="6"/>
  <c r="X5" i="5"/>
  <c r="W6" i="5"/>
  <c r="X5" i="4"/>
  <c r="W6" i="4"/>
  <c r="W6" i="1"/>
  <c r="X5" i="1"/>
  <c r="Y5" i="6" l="1"/>
  <c r="X6" i="6"/>
  <c r="X6" i="5"/>
  <c r="Y5" i="5"/>
  <c r="Y5" i="4"/>
  <c r="X6" i="4"/>
  <c r="X6" i="1"/>
  <c r="Y5" i="1"/>
  <c r="Y6" i="6" l="1"/>
  <c r="Z5" i="6"/>
  <c r="Y6" i="5"/>
  <c r="Z5" i="5"/>
  <c r="Z5" i="4"/>
  <c r="Y6" i="4"/>
  <c r="Z5" i="1"/>
  <c r="Y6" i="1"/>
  <c r="AA5" i="6" l="1"/>
  <c r="Z6" i="6"/>
  <c r="AA5" i="5"/>
  <c r="Z6" i="5"/>
  <c r="AA5" i="4"/>
  <c r="Z6" i="4"/>
  <c r="AA5" i="1"/>
  <c r="Z6" i="1"/>
  <c r="AB5" i="6" l="1"/>
  <c r="AA6" i="6"/>
  <c r="AB5" i="5"/>
  <c r="AA6" i="5"/>
  <c r="AB5" i="4"/>
  <c r="AA6" i="4"/>
  <c r="AB5" i="1"/>
  <c r="AA6" i="1"/>
  <c r="AC5" i="6" l="1"/>
  <c r="AB6" i="6"/>
  <c r="AB4" i="6"/>
  <c r="AC5" i="5"/>
  <c r="AB6" i="5"/>
  <c r="AB4" i="5"/>
  <c r="AC5" i="4"/>
  <c r="AB6" i="4"/>
  <c r="AB4" i="4"/>
  <c r="AB6" i="1"/>
  <c r="AC5" i="1"/>
  <c r="AB4" i="1"/>
  <c r="AD5" i="6" l="1"/>
  <c r="AC6" i="6"/>
  <c r="AD5" i="5"/>
  <c r="AC6" i="5"/>
  <c r="AD5" i="4"/>
  <c r="AC6" i="4"/>
  <c r="AD5" i="1"/>
  <c r="AC6" i="1"/>
  <c r="AD6" i="6" l="1"/>
  <c r="AE5" i="6"/>
  <c r="AD6" i="5"/>
  <c r="AE5" i="5"/>
  <c r="AD6" i="4"/>
  <c r="AE5" i="4"/>
  <c r="AD6" i="1"/>
  <c r="AE5" i="1"/>
  <c r="AF5" i="6" l="1"/>
  <c r="AE6" i="6"/>
  <c r="AE6" i="5"/>
  <c r="AF5" i="5"/>
  <c r="AF5" i="4"/>
  <c r="AE6" i="4"/>
  <c r="AE6" i="1"/>
  <c r="AF5" i="1"/>
  <c r="AG5" i="6" l="1"/>
  <c r="AF6" i="6"/>
  <c r="AG5" i="5"/>
  <c r="AF6" i="5"/>
  <c r="AG5" i="4"/>
  <c r="AF6" i="4"/>
  <c r="AG5" i="1"/>
  <c r="AF6" i="1"/>
  <c r="AG6" i="6" l="1"/>
  <c r="AH5" i="6"/>
  <c r="AH5" i="5"/>
  <c r="AG6" i="5"/>
  <c r="AH5" i="4"/>
  <c r="AG6" i="4"/>
  <c r="AH5" i="1"/>
  <c r="AG6" i="1"/>
  <c r="AI5" i="6" l="1"/>
  <c r="AH6" i="6"/>
  <c r="AI5" i="5"/>
  <c r="AH6" i="5"/>
  <c r="AI5" i="4"/>
  <c r="AH6" i="4"/>
  <c r="AI5" i="1"/>
  <c r="AH6" i="1"/>
  <c r="AJ5" i="6" l="1"/>
  <c r="AI4" i="6"/>
  <c r="AI6" i="6"/>
  <c r="AJ5" i="5"/>
  <c r="AI6" i="5"/>
  <c r="AI4" i="5"/>
  <c r="AJ5" i="4"/>
  <c r="AI6" i="4"/>
  <c r="AI4" i="4"/>
  <c r="AJ5" i="1"/>
  <c r="AI4" i="1"/>
  <c r="AI6" i="1"/>
  <c r="AK5" i="6" l="1"/>
  <c r="AJ6" i="6"/>
  <c r="AK5" i="5"/>
  <c r="AJ6" i="5"/>
  <c r="AJ6" i="4"/>
  <c r="AK5" i="4"/>
  <c r="AK5" i="1"/>
  <c r="AJ6" i="1"/>
  <c r="AL5" i="6" l="1"/>
  <c r="AK6" i="6"/>
  <c r="AL5" i="5"/>
  <c r="AK6" i="5"/>
  <c r="AK6" i="4"/>
  <c r="AL5" i="4"/>
  <c r="AL5" i="1"/>
  <c r="AK6" i="1"/>
  <c r="AL6" i="6" l="1"/>
  <c r="AM5" i="6"/>
  <c r="AL6" i="5"/>
  <c r="AM5" i="5"/>
  <c r="AL6" i="4"/>
  <c r="AM5" i="4"/>
  <c r="AL6" i="1"/>
  <c r="AM5" i="1"/>
  <c r="AN5" i="6" l="1"/>
  <c r="AM6" i="6"/>
  <c r="AM6" i="5"/>
  <c r="AN5" i="5"/>
  <c r="AN5" i="4"/>
  <c r="AM6" i="4"/>
  <c r="AM6" i="1"/>
  <c r="AN5" i="1"/>
  <c r="AO5" i="6" l="1"/>
  <c r="AN6" i="6"/>
  <c r="AN6" i="5"/>
  <c r="AO5" i="5"/>
  <c r="AO5" i="4"/>
  <c r="AN6" i="4"/>
  <c r="AO5" i="1"/>
  <c r="AN6" i="1"/>
  <c r="AO6" i="6" l="1"/>
  <c r="AP5" i="6"/>
  <c r="AP5" i="5"/>
  <c r="AO6" i="5"/>
  <c r="AP5" i="4"/>
  <c r="AO6" i="4"/>
  <c r="AP5" i="1"/>
  <c r="AO6" i="1"/>
  <c r="AP4" i="6" l="1"/>
  <c r="AP6" i="6"/>
  <c r="AQ5" i="6"/>
  <c r="AP4" i="5"/>
  <c r="AQ5" i="5"/>
  <c r="AP6" i="5"/>
  <c r="AP4" i="4"/>
  <c r="AQ5" i="4"/>
  <c r="AP6" i="4"/>
  <c r="AP4" i="1"/>
  <c r="AQ5" i="1"/>
  <c r="AP6" i="1"/>
  <c r="AR5" i="6" l="1"/>
  <c r="AQ6" i="6"/>
  <c r="AR5" i="5"/>
  <c r="AQ6" i="5"/>
  <c r="AR5" i="4"/>
  <c r="AQ6" i="4"/>
  <c r="AQ6" i="1"/>
  <c r="AR5" i="1"/>
  <c r="AS5" i="6" l="1"/>
  <c r="AR6" i="6"/>
  <c r="AS5" i="5"/>
  <c r="AR6" i="5"/>
  <c r="AR6" i="4"/>
  <c r="AS5" i="4"/>
  <c r="AS5" i="1"/>
  <c r="AR6" i="1"/>
  <c r="AT5" i="6" l="1"/>
  <c r="AS6" i="6"/>
  <c r="AT5" i="5"/>
  <c r="AS6" i="5"/>
  <c r="AT5" i="4"/>
  <c r="AS6" i="4"/>
  <c r="AS6" i="1"/>
  <c r="AT5" i="1"/>
  <c r="AT6" i="6" l="1"/>
  <c r="AU5" i="6"/>
  <c r="AT6" i="5"/>
  <c r="AU5" i="5"/>
  <c r="AT6" i="4"/>
  <c r="AU5" i="4"/>
  <c r="AU5" i="1"/>
  <c r="AT6" i="1"/>
  <c r="AV5" i="6" l="1"/>
  <c r="AU6" i="6"/>
  <c r="AV5" i="5"/>
  <c r="AU6" i="5"/>
  <c r="AV5" i="4"/>
  <c r="AU6" i="4"/>
  <c r="AU6" i="1"/>
  <c r="AV5" i="1"/>
  <c r="AW5" i="6" l="1"/>
  <c r="AV6" i="6"/>
  <c r="AV6" i="5"/>
  <c r="AW5" i="5"/>
  <c r="AW5" i="4"/>
  <c r="AV6" i="4"/>
  <c r="AW5" i="1"/>
  <c r="AV6" i="1"/>
  <c r="AW4" i="6" l="1"/>
  <c r="AW6" i="6"/>
  <c r="AX5" i="6"/>
  <c r="AW4" i="5"/>
  <c r="AX5" i="5"/>
  <c r="AW6" i="5"/>
  <c r="AX5" i="4"/>
  <c r="AW4" i="4"/>
  <c r="AW6" i="4"/>
  <c r="AW6" i="1"/>
  <c r="AX5" i="1"/>
  <c r="AW4" i="1"/>
  <c r="AX6" i="6" l="1"/>
  <c r="AY5" i="6"/>
  <c r="AY5" i="5"/>
  <c r="AX6" i="5"/>
  <c r="AY5" i="4"/>
  <c r="AX6" i="4"/>
  <c r="AY5" i="1"/>
  <c r="AX6" i="1"/>
  <c r="AZ5" i="6" l="1"/>
  <c r="AY6" i="6"/>
  <c r="AZ5" i="5"/>
  <c r="AY6" i="5"/>
  <c r="AZ5" i="4"/>
  <c r="AY6" i="4"/>
  <c r="AY6" i="1"/>
  <c r="AZ5" i="1"/>
  <c r="BA5" i="6" l="1"/>
  <c r="AZ6" i="6"/>
  <c r="BA5" i="5"/>
  <c r="AZ6" i="5"/>
  <c r="AZ6" i="4"/>
  <c r="BA5" i="4"/>
  <c r="BA5" i="1"/>
  <c r="AZ6" i="1"/>
  <c r="BB5" i="6" l="1"/>
  <c r="BA6" i="6"/>
  <c r="BB5" i="5"/>
  <c r="BA6" i="5"/>
  <c r="BB5" i="4"/>
  <c r="BA6" i="4"/>
  <c r="BB5" i="1"/>
  <c r="BA6" i="1"/>
  <c r="BB6" i="6" l="1"/>
  <c r="BC5" i="6"/>
  <c r="BB6" i="5"/>
  <c r="BC5" i="5"/>
  <c r="BB6" i="4"/>
  <c r="BC5" i="4"/>
  <c r="BC5" i="1"/>
  <c r="BB6" i="1"/>
  <c r="BD5" i="6" l="1"/>
  <c r="BC6" i="6"/>
  <c r="BD5" i="5"/>
  <c r="BC6" i="5"/>
  <c r="BD5" i="4"/>
  <c r="BC6" i="4"/>
  <c r="BC6" i="1"/>
  <c r="BD5" i="1"/>
  <c r="BD4" i="6" l="1"/>
  <c r="BE5" i="6"/>
  <c r="BD6" i="6"/>
  <c r="BD4" i="5"/>
  <c r="BE5" i="5"/>
  <c r="BD6" i="5"/>
  <c r="BD4" i="4"/>
  <c r="BE5" i="4"/>
  <c r="BD6" i="4"/>
  <c r="BD4" i="1"/>
  <c r="BE5" i="1"/>
  <c r="BD6" i="1"/>
  <c r="BE6" i="6" l="1"/>
  <c r="BF5" i="6"/>
  <c r="BF5" i="5"/>
  <c r="BE6" i="5"/>
  <c r="BF5" i="4"/>
  <c r="BE6" i="4"/>
  <c r="BF5" i="1"/>
  <c r="BE6" i="1"/>
  <c r="BG5" i="6" l="1"/>
  <c r="BF6" i="6"/>
  <c r="BG5" i="5"/>
  <c r="BF6" i="5"/>
  <c r="BG5" i="4"/>
  <c r="BF6" i="4"/>
  <c r="BG5" i="1"/>
  <c r="BF6" i="1"/>
  <c r="BH5" i="6" l="1"/>
  <c r="BG6" i="6"/>
  <c r="BH5" i="5"/>
  <c r="BG6" i="5"/>
  <c r="BH5" i="4"/>
  <c r="BG6" i="4"/>
  <c r="BH5" i="1"/>
  <c r="BG6" i="1"/>
  <c r="BI5" i="6" l="1"/>
  <c r="BH6" i="6"/>
  <c r="BI5" i="5"/>
  <c r="BH6" i="5"/>
  <c r="BH6" i="4"/>
  <c r="BI5" i="4"/>
  <c r="BI5" i="1"/>
  <c r="BH6" i="1"/>
  <c r="BJ5" i="6" l="1"/>
  <c r="BI6" i="6"/>
  <c r="BJ5" i="5"/>
  <c r="BI6" i="5"/>
  <c r="BJ5" i="4"/>
  <c r="BI6" i="4"/>
  <c r="BJ5" i="1"/>
  <c r="BI6" i="1"/>
  <c r="BJ6" i="6" l="1"/>
  <c r="BK5" i="6"/>
  <c r="BJ6" i="5"/>
  <c r="BK5" i="5"/>
  <c r="BJ6" i="4"/>
  <c r="BK5" i="4"/>
  <c r="BK5" i="1"/>
  <c r="BJ6" i="1"/>
  <c r="BL5" i="6" l="1"/>
  <c r="BK6" i="6"/>
  <c r="BK4" i="6"/>
  <c r="BL5" i="5"/>
  <c r="BK4" i="5"/>
  <c r="BK6" i="5"/>
  <c r="BL5" i="4"/>
  <c r="BK4" i="4"/>
  <c r="BK6" i="4"/>
  <c r="BL5" i="1"/>
  <c r="BK4" i="1"/>
  <c r="BK6" i="1"/>
  <c r="BM5" i="6" l="1"/>
  <c r="BL6" i="6"/>
  <c r="BL6" i="5"/>
  <c r="BM5" i="5"/>
  <c r="BM5" i="4"/>
  <c r="BL6" i="4"/>
  <c r="BM5" i="1"/>
  <c r="BL6" i="1"/>
  <c r="BM6" i="6" l="1"/>
  <c r="BN5" i="6"/>
  <c r="BN5" i="5"/>
  <c r="BM6" i="5"/>
  <c r="BN5" i="4"/>
  <c r="BM6" i="4"/>
  <c r="BN5" i="1"/>
  <c r="BM6" i="1"/>
  <c r="BO5" i="6" l="1"/>
  <c r="BN6" i="6"/>
  <c r="BO5" i="5"/>
  <c r="BN6" i="5"/>
  <c r="BO5" i="4"/>
  <c r="BN6" i="4"/>
  <c r="BN6" i="1"/>
  <c r="BO5" i="1"/>
  <c r="BP5" i="6" l="1"/>
  <c r="BO6" i="6"/>
  <c r="BP5" i="5"/>
  <c r="BO6" i="5"/>
  <c r="BP5" i="4"/>
  <c r="BO6" i="4"/>
  <c r="BO6" i="1"/>
  <c r="BP5" i="1"/>
  <c r="BQ5" i="6" l="1"/>
  <c r="BP6" i="6"/>
  <c r="BQ5" i="5"/>
  <c r="BP6" i="5"/>
  <c r="BP6" i="4"/>
  <c r="BQ5" i="4"/>
  <c r="BQ5" i="1"/>
  <c r="BP6" i="1"/>
  <c r="BR5" i="6" l="1"/>
  <c r="BQ6" i="6"/>
  <c r="BR5" i="5"/>
  <c r="BQ6" i="5"/>
  <c r="BR5" i="4"/>
  <c r="BQ6" i="4"/>
  <c r="BR5" i="1"/>
  <c r="BQ6" i="1"/>
  <c r="BR6" i="6" l="1"/>
  <c r="BR4" i="6"/>
  <c r="BS5" i="6"/>
  <c r="BR6" i="5"/>
  <c r="BR4" i="5"/>
  <c r="BS5" i="5"/>
  <c r="BR6" i="4"/>
  <c r="BR4" i="4"/>
  <c r="BS5" i="4"/>
  <c r="BR6" i="1"/>
  <c r="BS5" i="1"/>
  <c r="BR4" i="1"/>
  <c r="BT5" i="6" l="1"/>
  <c r="BS6" i="6"/>
  <c r="BS6" i="5"/>
  <c r="BT5" i="5"/>
  <c r="BT5" i="4"/>
  <c r="BS6" i="4"/>
  <c r="BS6" i="1"/>
  <c r="BT5" i="1"/>
  <c r="BU5" i="6" l="1"/>
  <c r="BT6" i="6"/>
  <c r="BT6" i="5"/>
  <c r="BU5" i="5"/>
  <c r="BU5" i="4"/>
  <c r="BT6" i="4"/>
  <c r="BU5" i="1"/>
  <c r="BT6" i="1"/>
  <c r="BU6" i="6" l="1"/>
  <c r="BV5" i="6"/>
  <c r="BV5" i="5"/>
  <c r="BU6" i="5"/>
  <c r="BV5" i="4"/>
  <c r="BU6" i="4"/>
  <c r="BV5" i="1"/>
  <c r="BU6" i="1"/>
  <c r="BV6" i="6" l="1"/>
  <c r="BW5" i="6"/>
  <c r="BW5" i="5"/>
  <c r="BV6" i="5"/>
  <c r="BW5" i="4"/>
  <c r="BV6" i="4"/>
  <c r="BW5" i="1"/>
  <c r="BV6" i="1"/>
  <c r="BX5" i="6" l="1"/>
  <c r="BW6" i="6"/>
  <c r="BX5" i="5"/>
  <c r="BW6" i="5"/>
  <c r="BX5" i="4"/>
  <c r="BW6" i="4"/>
  <c r="BW6" i="1"/>
  <c r="BX5" i="1"/>
  <c r="BY5" i="6" l="1"/>
  <c r="BX6" i="6"/>
  <c r="BY5" i="5"/>
  <c r="BX6" i="5"/>
  <c r="BY5" i="4"/>
  <c r="BX6" i="4"/>
  <c r="BY5" i="1"/>
  <c r="BX6" i="1"/>
  <c r="BZ5" i="6" l="1"/>
  <c r="BY6" i="6"/>
  <c r="BY4" i="6"/>
  <c r="BZ5" i="5"/>
  <c r="BY6" i="5"/>
  <c r="BY4" i="5"/>
  <c r="BY6" i="4"/>
  <c r="BY4" i="4"/>
  <c r="BZ5" i="4"/>
  <c r="BY6" i="1"/>
  <c r="BZ5" i="1"/>
  <c r="BY4" i="1"/>
  <c r="BZ6" i="6" l="1"/>
  <c r="CA5" i="6"/>
  <c r="BZ6" i="5"/>
  <c r="CA5" i="5"/>
  <c r="BZ6" i="4"/>
  <c r="CA5" i="4"/>
  <c r="BZ6" i="1"/>
  <c r="CA5" i="1"/>
  <c r="CB5" i="6" l="1"/>
  <c r="CA6" i="6"/>
  <c r="CA6" i="5"/>
  <c r="CB5" i="5"/>
  <c r="CB5" i="4"/>
  <c r="CA6" i="4"/>
  <c r="CA6" i="1"/>
  <c r="CB5" i="1"/>
  <c r="CC5" i="6" l="1"/>
  <c r="CB6" i="6"/>
  <c r="CB6" i="5"/>
  <c r="CC5" i="5"/>
  <c r="CC5" i="4"/>
  <c r="CB6" i="4"/>
  <c r="CC5" i="1"/>
  <c r="CB6" i="1"/>
  <c r="CC6" i="6" l="1"/>
  <c r="CD5" i="6"/>
  <c r="CD5" i="5"/>
  <c r="CC6" i="5"/>
  <c r="CD5" i="4"/>
  <c r="CC6" i="4"/>
  <c r="CD5" i="1"/>
  <c r="CC6" i="1"/>
  <c r="CD6" i="6" l="1"/>
  <c r="CE5" i="6"/>
  <c r="CE5" i="5"/>
  <c r="CD6" i="5"/>
  <c r="CE5" i="4"/>
  <c r="CD6" i="4"/>
  <c r="CD6" i="1"/>
  <c r="CE5" i="1"/>
  <c r="CF5" i="6" l="1"/>
  <c r="CE6" i="6"/>
  <c r="CF5" i="5"/>
  <c r="CE6" i="5"/>
  <c r="CF5" i="4"/>
  <c r="CE6" i="4"/>
  <c r="CF5" i="1"/>
  <c r="CE6" i="1"/>
  <c r="CG5" i="6" l="1"/>
  <c r="CF6" i="6"/>
  <c r="CF4" i="6"/>
  <c r="CG5" i="5"/>
  <c r="CF6" i="5"/>
  <c r="CF4" i="5"/>
  <c r="CF6" i="4"/>
  <c r="CF4" i="4"/>
  <c r="CG5" i="4"/>
  <c r="CF4" i="1"/>
  <c r="CG5" i="1"/>
  <c r="CF6" i="1"/>
  <c r="CH5" i="6" l="1"/>
  <c r="CG6" i="6"/>
  <c r="CH5" i="5"/>
  <c r="CG6" i="5"/>
  <c r="CH5" i="4"/>
  <c r="CG6" i="4"/>
  <c r="CH5" i="1"/>
  <c r="CG6" i="1"/>
  <c r="CH6" i="6" l="1"/>
  <c r="CI5" i="6"/>
  <c r="CH6" i="5"/>
  <c r="CI5" i="5"/>
  <c r="CH6" i="4"/>
  <c r="CI5" i="4"/>
  <c r="CH6" i="1"/>
  <c r="CI5" i="1"/>
  <c r="CJ5" i="6" l="1"/>
  <c r="CI6" i="6"/>
  <c r="CJ5" i="5"/>
  <c r="CI6" i="5"/>
  <c r="CJ5" i="4"/>
  <c r="CI6" i="4"/>
  <c r="CJ5" i="1"/>
  <c r="CI6" i="1"/>
  <c r="CK5" i="6" l="1"/>
  <c r="CJ6" i="6"/>
  <c r="CJ6" i="5"/>
  <c r="CK5" i="5"/>
  <c r="CK5" i="4"/>
  <c r="CJ6" i="4"/>
  <c r="CK5" i="1"/>
  <c r="CJ6" i="1"/>
  <c r="CK6" i="6" l="1"/>
  <c r="CL5" i="6"/>
  <c r="CL5" i="5"/>
  <c r="CK6" i="5"/>
  <c r="CL5" i="4"/>
  <c r="CK6" i="4"/>
  <c r="CL5" i="1"/>
  <c r="CK6" i="1"/>
  <c r="CM5" i="6" l="1"/>
  <c r="CL6" i="6"/>
  <c r="CM5" i="5"/>
  <c r="CL6" i="5"/>
  <c r="CM5" i="4"/>
  <c r="CL6" i="4"/>
  <c r="CM5" i="1"/>
  <c r="CL6" i="1"/>
  <c r="CN5" i="6" l="1"/>
  <c r="CM4" i="6"/>
  <c r="CM6" i="6"/>
  <c r="CN5" i="5"/>
  <c r="CM6" i="5"/>
  <c r="CM4" i="5"/>
  <c r="CN5" i="4"/>
  <c r="CM6" i="4"/>
  <c r="CM4" i="4"/>
  <c r="CN5" i="1"/>
  <c r="CM4" i="1"/>
  <c r="CM6" i="1"/>
  <c r="CO5" i="6" l="1"/>
  <c r="CN6" i="6"/>
  <c r="CO5" i="5"/>
  <c r="CN6" i="5"/>
  <c r="CN6" i="4"/>
  <c r="CO5" i="4"/>
  <c r="CO5" i="1"/>
  <c r="CN6" i="1"/>
  <c r="CP5" i="6" l="1"/>
  <c r="CO6" i="6"/>
  <c r="CP5" i="5"/>
  <c r="CO6" i="5"/>
  <c r="CP5" i="4"/>
  <c r="CO6" i="4"/>
  <c r="CP5" i="1"/>
  <c r="CO6" i="1"/>
  <c r="CP6" i="6" l="1"/>
  <c r="CQ5" i="6"/>
  <c r="CP6" i="5"/>
  <c r="CQ5" i="5"/>
  <c r="CP6" i="4"/>
  <c r="CQ5" i="4"/>
  <c r="CQ5" i="1"/>
  <c r="CP6" i="1"/>
  <c r="CR5" i="6" l="1"/>
  <c r="CQ6" i="6"/>
  <c r="CQ6" i="5"/>
  <c r="CR5" i="5"/>
  <c r="CR5" i="4"/>
  <c r="CQ6" i="4"/>
  <c r="CQ6" i="1"/>
  <c r="CR5" i="1"/>
  <c r="CS5" i="6" l="1"/>
  <c r="CR6" i="6"/>
  <c r="CS5" i="5"/>
  <c r="CR6" i="5"/>
  <c r="CS5" i="4"/>
  <c r="CR6" i="4"/>
  <c r="CS5" i="1"/>
  <c r="CR6" i="1"/>
  <c r="CS6" i="6" l="1"/>
  <c r="CT5" i="6"/>
  <c r="CT5" i="5"/>
  <c r="CS6" i="5"/>
  <c r="CT5" i="4"/>
  <c r="CS6" i="4"/>
  <c r="CT5" i="1"/>
  <c r="CS6" i="1"/>
  <c r="CT4" i="6" l="1"/>
  <c r="CU5" i="6"/>
  <c r="CT6" i="6"/>
  <c r="CT4" i="5"/>
  <c r="CU5" i="5"/>
  <c r="CT6" i="5"/>
  <c r="CT4" i="4"/>
  <c r="CU5" i="4"/>
  <c r="CT6" i="4"/>
  <c r="CT4" i="1"/>
  <c r="CT6" i="1"/>
  <c r="CU5" i="1"/>
  <c r="CV5" i="6" l="1"/>
  <c r="CU6" i="6"/>
  <c r="CV5" i="5"/>
  <c r="CU6" i="5"/>
  <c r="CV5" i="4"/>
  <c r="CU6" i="4"/>
  <c r="CU6" i="1"/>
  <c r="CV5" i="1"/>
  <c r="CW5" i="6" l="1"/>
  <c r="CV6" i="6"/>
  <c r="CW5" i="5"/>
  <c r="CV6" i="5"/>
  <c r="CV6" i="4"/>
  <c r="CW5" i="4"/>
  <c r="CV6" i="1"/>
  <c r="CW5" i="1"/>
  <c r="CX5" i="6" l="1"/>
  <c r="CW6" i="6"/>
  <c r="CX5" i="5"/>
  <c r="CW6" i="5"/>
  <c r="CW6" i="4"/>
  <c r="CX5" i="4"/>
  <c r="CW6" i="1"/>
  <c r="CX5" i="1"/>
  <c r="CX6" i="6" l="1"/>
  <c r="CY5" i="6"/>
  <c r="CX6" i="5"/>
  <c r="CY5" i="5"/>
  <c r="CX6" i="4"/>
  <c r="CY5" i="4"/>
  <c r="CY5" i="1"/>
  <c r="CX6" i="1"/>
  <c r="CZ5" i="6" l="1"/>
  <c r="CY6" i="6"/>
  <c r="CY6" i="5"/>
  <c r="CZ5" i="5"/>
  <c r="CZ5" i="4"/>
  <c r="CY6" i="4"/>
  <c r="CY6" i="1"/>
  <c r="CZ5" i="1"/>
  <c r="DA5" i="6" l="1"/>
  <c r="CZ6" i="6"/>
  <c r="CZ6" i="5"/>
  <c r="DA5" i="5"/>
  <c r="DA5" i="4"/>
  <c r="CZ6" i="4"/>
  <c r="DA5" i="1"/>
  <c r="CZ6" i="1"/>
  <c r="DA4" i="6" l="1"/>
  <c r="DA6" i="6"/>
  <c r="DB5" i="6"/>
  <c r="DA4" i="5"/>
  <c r="DB5" i="5"/>
  <c r="DA6" i="5"/>
  <c r="DA4" i="4"/>
  <c r="DB5" i="4"/>
  <c r="DA6" i="4"/>
  <c r="DA6" i="1"/>
  <c r="DB5" i="1"/>
  <c r="DA4" i="1"/>
  <c r="DB6" i="6" l="1"/>
  <c r="DC5" i="6"/>
  <c r="DC5" i="5"/>
  <c r="DB6" i="5"/>
  <c r="DC5" i="4"/>
  <c r="DB6" i="4"/>
  <c r="DC5" i="1"/>
  <c r="DB6" i="1"/>
  <c r="DD5" i="6" l="1"/>
  <c r="DC6" i="6"/>
  <c r="DD5" i="5"/>
  <c r="DC6" i="5"/>
  <c r="DD5" i="4"/>
  <c r="DC6" i="4"/>
  <c r="DC6" i="1"/>
  <c r="DD5" i="1"/>
  <c r="DE5" i="6" l="1"/>
  <c r="DD6" i="6"/>
  <c r="DE5" i="5"/>
  <c r="DD6" i="5"/>
  <c r="DD6" i="4"/>
  <c r="DE5" i="4"/>
  <c r="DE5" i="1"/>
  <c r="DD6" i="1"/>
  <c r="DF5" i="6" l="1"/>
  <c r="DE6" i="6"/>
  <c r="DF5" i="5"/>
  <c r="DE6" i="5"/>
  <c r="DE6" i="4"/>
  <c r="DF5" i="4"/>
  <c r="DE6" i="1"/>
  <c r="DF5" i="1"/>
  <c r="DF6" i="6" l="1"/>
  <c r="DG5" i="6"/>
  <c r="DF6" i="5"/>
  <c r="DG5" i="5"/>
  <c r="DF6" i="4"/>
  <c r="DG5" i="4"/>
  <c r="DG5" i="1"/>
  <c r="DF6" i="1"/>
  <c r="DH5" i="6" l="1"/>
  <c r="DG6" i="6"/>
  <c r="DG6" i="5"/>
  <c r="DH5" i="5"/>
  <c r="DH5" i="4"/>
  <c r="DG6" i="4"/>
  <c r="DG6" i="1"/>
  <c r="DH5" i="1"/>
  <c r="DH4" i="6" l="1"/>
  <c r="DI5" i="6"/>
  <c r="DH6" i="6"/>
  <c r="DH4" i="5"/>
  <c r="DH6" i="5"/>
  <c r="DI5" i="5"/>
  <c r="DH4" i="4"/>
  <c r="DI5" i="4"/>
  <c r="DH6" i="4"/>
  <c r="DI5" i="1"/>
  <c r="DH4" i="1"/>
  <c r="DH6" i="1"/>
  <c r="DI6" i="6" l="1"/>
  <c r="DJ5" i="6"/>
  <c r="DJ5" i="5"/>
  <c r="DI6" i="5"/>
  <c r="DJ5" i="4"/>
  <c r="DI6" i="4"/>
  <c r="DJ5" i="1"/>
  <c r="DI6" i="1"/>
  <c r="DJ6" i="6" l="1"/>
  <c r="DK5" i="6"/>
  <c r="DK5" i="5"/>
  <c r="DJ6" i="5"/>
  <c r="DK5" i="4"/>
  <c r="DJ6" i="4"/>
  <c r="DK5" i="1"/>
  <c r="DJ6" i="1"/>
  <c r="DL5" i="6" l="1"/>
  <c r="DK6" i="6"/>
  <c r="DL5" i="5"/>
  <c r="DK6" i="5"/>
  <c r="DL5" i="4"/>
  <c r="DK6" i="4"/>
  <c r="DL5" i="1"/>
  <c r="DK6" i="1"/>
  <c r="DM5" i="6" l="1"/>
  <c r="DL6" i="6"/>
  <c r="DM5" i="5"/>
  <c r="DL6" i="5"/>
  <c r="DM5" i="4"/>
  <c r="DL6" i="4"/>
  <c r="DM5" i="1"/>
  <c r="DL6" i="1"/>
  <c r="DN5" i="6" l="1"/>
  <c r="DN6" i="6" s="1"/>
  <c r="DM6" i="6"/>
  <c r="DN5" i="5"/>
  <c r="DN6" i="5" s="1"/>
  <c r="DM6" i="5"/>
  <c r="DN5" i="4"/>
  <c r="DN6" i="4" s="1"/>
  <c r="DM6" i="4"/>
  <c r="DN5" i="1"/>
  <c r="DN6" i="1" s="1"/>
  <c r="DM6" i="1"/>
</calcChain>
</file>

<file path=xl/sharedStrings.xml><?xml version="1.0" encoding="utf-8"?>
<sst xmlns="http://schemas.openxmlformats.org/spreadsheetml/2006/main" count="190" uniqueCount="42">
  <si>
    <t>TASK</t>
  </si>
  <si>
    <t>START</t>
  </si>
  <si>
    <t>END</t>
  </si>
  <si>
    <t>Project Start:</t>
  </si>
  <si>
    <t>Display Week:</t>
  </si>
  <si>
    <t>PROGRESS</t>
  </si>
  <si>
    <t xml:space="preserve">Constanza Andaur </t>
  </si>
  <si>
    <t>SAP GDM &amp; PE</t>
  </si>
  <si>
    <t>SAP Migraine</t>
  </si>
  <si>
    <t>SAP Drug Utilization</t>
  </si>
  <si>
    <t>SAP Safety</t>
  </si>
  <si>
    <t>Tailored Brigde</t>
  </si>
  <si>
    <t>PERSON</t>
  </si>
  <si>
    <t>Vera</t>
  </si>
  <si>
    <t>Update SAP</t>
  </si>
  <si>
    <t>Vera &amp; Vjola</t>
  </si>
  <si>
    <t>Pregnancy algorithm</t>
  </si>
  <si>
    <t>Contact DAPs for additional concept</t>
  </si>
  <si>
    <t>Vjola</t>
  </si>
  <si>
    <t>D3 Clean Pregnancy test</t>
  </si>
  <si>
    <t>D3 Study Population test</t>
  </si>
  <si>
    <t>D3 Clean Pregnancy coding</t>
  </si>
  <si>
    <t>D3 Study Population coding</t>
  </si>
  <si>
    <t>Cross-check D3's reports</t>
  </si>
  <si>
    <t>ALG_PE #1-6 coding</t>
  </si>
  <si>
    <t>ALG_GDM #1-8 coding</t>
  </si>
  <si>
    <t>ALG_MIG_A #1-7 coding</t>
  </si>
  <si>
    <t>ALG_MIG_T #1-6 coding</t>
  </si>
  <si>
    <t>ALG_MIG_S #1-76coding</t>
  </si>
  <si>
    <t>Vjola &amp; Constanza</t>
  </si>
  <si>
    <t>Release v1</t>
  </si>
  <si>
    <t>DAP's support</t>
  </si>
  <si>
    <t>Vera &amp; Constanza</t>
  </si>
  <si>
    <t>D3 Diagnoses coding</t>
  </si>
  <si>
    <t>D3 Medicines coding</t>
  </si>
  <si>
    <t>D3 Other coding</t>
  </si>
  <si>
    <t>D3 Diagnoses test</t>
  </si>
  <si>
    <t>D3 Medicines test</t>
  </si>
  <si>
    <t>D3 Other test</t>
  </si>
  <si>
    <t>D4 shell tables</t>
  </si>
  <si>
    <t>ALG D4 shell tables</t>
  </si>
  <si>
    <t>ALG D4 Shell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</si>
</sst>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 vertical="center" shrinkToFi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3" fillId="3" borderId="5" xfId="0" applyNumberFormat="1" applyFont="1" applyFill="1" applyBorder="1" applyAlignment="1">
      <alignment horizontal="center" vertical="center" shrinkToFit="1"/>
    </xf>
    <xf numFmtId="164" fontId="3" fillId="3" borderId="0" xfId="0" applyNumberFormat="1" applyFont="1" applyFill="1" applyAlignment="1">
      <alignment horizontal="center" vertical="center" shrinkToFit="1"/>
    </xf>
    <xf numFmtId="164" fontId="3" fillId="3" borderId="6" xfId="0" applyNumberFormat="1" applyFont="1" applyFill="1" applyBorder="1" applyAlignment="1">
      <alignment horizontal="center" vertical="center" shrinkToFit="1"/>
    </xf>
    <xf numFmtId="15" fontId="0" fillId="0" borderId="1" xfId="0" applyNumberFormat="1" applyBorder="1"/>
    <xf numFmtId="165" fontId="0" fillId="0" borderId="7" xfId="0" applyNumberFormat="1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5" fillId="0" borderId="0" xfId="0" applyFont="1"/>
    <xf numFmtId="0" fontId="6" fillId="2" borderId="0" xfId="0" applyFont="1" applyFill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15" fontId="0" fillId="3" borderId="2" xfId="0" applyNumberFormat="1" applyFill="1" applyBorder="1" applyAlignment="1">
      <alignment horizontal="left"/>
    </xf>
    <xf numFmtId="15" fontId="0" fillId="3" borderId="3" xfId="0" applyNumberFormat="1" applyFill="1" applyBorder="1" applyAlignment="1">
      <alignment horizontal="left"/>
    </xf>
    <xf numFmtId="15" fontId="0" fillId="3" borderId="4" xfId="0" applyNumberFormat="1" applyFill="1" applyBorder="1" applyAlignment="1">
      <alignment horizontal="left"/>
    </xf>
  </cellXfs>
  <cellStyles count="1">
    <cellStyle name="Normal" xfId="0" builtinId="0"/>
  </cellStyles>
  <dxfs count="16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croll" dx="31" fmlaLink="$D$4" horiz="1" max="100" page="0" val="0"/>
</file>

<file path=xl/ctrlProps/ctrlProp2.xml><?xml version="1.0" encoding="utf-8"?>
<formControlPr xmlns="http://schemas.microsoft.com/office/spreadsheetml/2009/9/main" objectType="Scroll" dx="31" fmlaLink="$D$4" horiz="1" max="100" page="0"/>
</file>

<file path=xl/ctrlProps/ctrlProp3.xml><?xml version="1.0" encoding="utf-8"?>
<formControlPr xmlns="http://schemas.microsoft.com/office/spreadsheetml/2009/9/main" objectType="Scroll" dx="31" fmlaLink="$D$4" horiz="1" max="100" page="0"/>
</file>

<file path=xl/ctrlProps/ctrlProp4.xml><?xml version="1.0" encoding="utf-8"?>
<formControlPr xmlns="http://schemas.microsoft.com/office/spreadsheetml/2009/9/main" objectType="Scroll" dx="31" fmlaLink="$D$4" horiz="1" max="100" page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177800</xdr:rowOff>
        </xdr:from>
        <xdr:to>
          <xdr:col>23</xdr:col>
          <xdr:colOff>127000</xdr:colOff>
          <xdr:row>3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177800</xdr:rowOff>
        </xdr:from>
        <xdr:to>
          <xdr:col>23</xdr:col>
          <xdr:colOff>127000</xdr:colOff>
          <xdr:row>3</xdr:row>
          <xdr:rowOff>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177800</xdr:rowOff>
        </xdr:from>
        <xdr:to>
          <xdr:col>23</xdr:col>
          <xdr:colOff>127000</xdr:colOff>
          <xdr:row>3</xdr:row>
          <xdr:rowOff>0</xdr:rowOff>
        </xdr:to>
        <xdr:sp macro="" textlink="">
          <xdr:nvSpPr>
            <xdr:cNvPr id="5121" name="Scroll Ba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177800</xdr:rowOff>
        </xdr:from>
        <xdr:to>
          <xdr:col>23</xdr:col>
          <xdr:colOff>127000</xdr:colOff>
          <xdr:row>3</xdr:row>
          <xdr:rowOff>0</xdr:rowOff>
        </xdr:to>
        <xdr:sp macro="" textlink="">
          <xdr:nvSpPr>
            <xdr:cNvPr id="6145" name="Scroll Ba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2F45-E26E-4881-99AB-9DDABDFB6CBA}">
  <dimension ref="A1:DN28"/>
  <sheetViews>
    <sheetView showGridLines="0" topLeftCell="A3" zoomScale="111" zoomScaleNormal="116" workbookViewId="0">
      <selection activeCell="E23" sqref="E23"/>
    </sheetView>
  </sheetViews>
  <sheetFormatPr baseColWidth="10" defaultColWidth="8.83203125" defaultRowHeight="15" x14ac:dyDescent="0.2"/>
  <cols>
    <col min="1" max="1" width="29.33203125" bestFit="1" customWidth="1"/>
    <col min="2" max="2" width="15.5" customWidth="1"/>
    <col min="3" max="3" width="14.5" customWidth="1"/>
    <col min="4" max="4" width="26.5" customWidth="1"/>
    <col min="5" max="5" width="12.83203125" customWidth="1"/>
    <col min="7" max="11" width="2.5" bestFit="1" customWidth="1"/>
    <col min="12" max="13" width="2.5" customWidth="1"/>
    <col min="14" max="86" width="2.5" bestFit="1" customWidth="1"/>
    <col min="87" max="90" width="1.6640625" bestFit="1" customWidth="1"/>
    <col min="91" max="103" width="2.5" bestFit="1" customWidth="1"/>
    <col min="104" max="104" width="2.5" customWidth="1"/>
    <col min="105" max="116" width="2.5" bestFit="1" customWidth="1"/>
    <col min="117" max="118" width="1.6640625" bestFit="1" customWidth="1"/>
  </cols>
  <sheetData>
    <row r="1" spans="1:118" ht="21" x14ac:dyDescent="0.25">
      <c r="A1" s="16" t="s">
        <v>6</v>
      </c>
      <c r="B1" s="16"/>
    </row>
    <row r="3" spans="1:118" x14ac:dyDescent="0.2">
      <c r="C3" s="10" t="s">
        <v>3</v>
      </c>
      <c r="D3" s="9">
        <v>44984</v>
      </c>
    </row>
    <row r="4" spans="1:118" x14ac:dyDescent="0.2">
      <c r="C4" s="10" t="s">
        <v>4</v>
      </c>
      <c r="D4" s="11">
        <v>0</v>
      </c>
      <c r="G4" s="19">
        <f>G5</f>
        <v>44977</v>
      </c>
      <c r="H4" s="20"/>
      <c r="I4" s="20"/>
      <c r="J4" s="20"/>
      <c r="K4" s="20"/>
      <c r="L4" s="20"/>
      <c r="M4" s="21"/>
      <c r="N4" s="19">
        <f>N5</f>
        <v>44984</v>
      </c>
      <c r="O4" s="20"/>
      <c r="P4" s="20"/>
      <c r="Q4" s="20"/>
      <c r="R4" s="20"/>
      <c r="S4" s="20"/>
      <c r="T4" s="21"/>
      <c r="U4" s="19">
        <f>U5</f>
        <v>44991</v>
      </c>
      <c r="V4" s="20"/>
      <c r="W4" s="20"/>
      <c r="X4" s="20"/>
      <c r="Y4" s="20"/>
      <c r="Z4" s="20"/>
      <c r="AA4" s="21"/>
      <c r="AB4" s="19">
        <f>AB5</f>
        <v>44998</v>
      </c>
      <c r="AC4" s="20"/>
      <c r="AD4" s="20"/>
      <c r="AE4" s="20"/>
      <c r="AF4" s="20"/>
      <c r="AG4" s="20"/>
      <c r="AH4" s="21"/>
      <c r="AI4" s="19">
        <f>AI5</f>
        <v>45005</v>
      </c>
      <c r="AJ4" s="20"/>
      <c r="AK4" s="20"/>
      <c r="AL4" s="20"/>
      <c r="AM4" s="20"/>
      <c r="AN4" s="20"/>
      <c r="AO4" s="21"/>
      <c r="AP4" s="19">
        <f>AP5</f>
        <v>45012</v>
      </c>
      <c r="AQ4" s="20"/>
      <c r="AR4" s="20"/>
      <c r="AS4" s="20"/>
      <c r="AT4" s="20"/>
      <c r="AU4" s="20"/>
      <c r="AV4" s="21"/>
      <c r="AW4" s="19">
        <f>AW5</f>
        <v>45019</v>
      </c>
      <c r="AX4" s="20"/>
      <c r="AY4" s="20"/>
      <c r="AZ4" s="20"/>
      <c r="BA4" s="20"/>
      <c r="BB4" s="20"/>
      <c r="BC4" s="21"/>
      <c r="BD4" s="19">
        <f>BD5</f>
        <v>45026</v>
      </c>
      <c r="BE4" s="20"/>
      <c r="BF4" s="20"/>
      <c r="BG4" s="20"/>
      <c r="BH4" s="20"/>
      <c r="BI4" s="20"/>
      <c r="BJ4" s="21"/>
      <c r="BK4" s="19">
        <f>BK5</f>
        <v>45033</v>
      </c>
      <c r="BL4" s="20"/>
      <c r="BM4" s="20"/>
      <c r="BN4" s="20"/>
      <c r="BO4" s="20"/>
      <c r="BP4" s="20"/>
      <c r="BQ4" s="21"/>
      <c r="BR4" s="19">
        <f>BR5</f>
        <v>45040</v>
      </c>
      <c r="BS4" s="20"/>
      <c r="BT4" s="20"/>
      <c r="BU4" s="20"/>
      <c r="BV4" s="20"/>
      <c r="BW4" s="20"/>
      <c r="BX4" s="21"/>
      <c r="BY4" s="19">
        <f>BY5</f>
        <v>45047</v>
      </c>
      <c r="BZ4" s="20"/>
      <c r="CA4" s="20"/>
      <c r="CB4" s="20"/>
      <c r="CC4" s="20"/>
      <c r="CD4" s="20"/>
      <c r="CE4" s="21"/>
      <c r="CF4" s="19">
        <f>CF5</f>
        <v>45054</v>
      </c>
      <c r="CG4" s="20"/>
      <c r="CH4" s="20"/>
      <c r="CI4" s="20"/>
      <c r="CJ4" s="20"/>
      <c r="CK4" s="20"/>
      <c r="CL4" s="21"/>
      <c r="CM4" s="19">
        <f>CM5</f>
        <v>45061</v>
      </c>
      <c r="CN4" s="20"/>
      <c r="CO4" s="20"/>
      <c r="CP4" s="20"/>
      <c r="CQ4" s="20"/>
      <c r="CR4" s="20"/>
      <c r="CS4" s="21"/>
      <c r="CT4" s="19">
        <f>CT5</f>
        <v>45068</v>
      </c>
      <c r="CU4" s="20"/>
      <c r="CV4" s="20"/>
      <c r="CW4" s="20"/>
      <c r="CX4" s="20"/>
      <c r="CY4" s="20"/>
      <c r="CZ4" s="21"/>
      <c r="DA4" s="19">
        <f>DA5</f>
        <v>45075</v>
      </c>
      <c r="DB4" s="20"/>
      <c r="DC4" s="20"/>
      <c r="DD4" s="20"/>
      <c r="DE4" s="20"/>
      <c r="DF4" s="20"/>
      <c r="DG4" s="21"/>
      <c r="DH4" s="19">
        <f>DH5</f>
        <v>45082</v>
      </c>
      <c r="DI4" s="20"/>
      <c r="DJ4" s="20"/>
      <c r="DK4" s="20"/>
      <c r="DL4" s="20"/>
      <c r="DM4" s="20"/>
      <c r="DN4" s="21"/>
    </row>
    <row r="5" spans="1:118" x14ac:dyDescent="0.2">
      <c r="G5" s="5">
        <f>D3-WEEKDAY(project_start,3)+(display_week-1)*7</f>
        <v>44977</v>
      </c>
      <c r="H5" s="6">
        <f>G5+1</f>
        <v>44978</v>
      </c>
      <c r="I5" s="6">
        <f t="shared" ref="I5:BT5" si="0">H5+1</f>
        <v>44979</v>
      </c>
      <c r="J5" s="6">
        <f t="shared" si="0"/>
        <v>44980</v>
      </c>
      <c r="K5" s="6">
        <f t="shared" si="0"/>
        <v>44981</v>
      </c>
      <c r="L5" s="6">
        <f t="shared" si="0"/>
        <v>44982</v>
      </c>
      <c r="M5" s="7">
        <f t="shared" si="0"/>
        <v>44983</v>
      </c>
      <c r="N5" s="5">
        <f t="shared" si="0"/>
        <v>44984</v>
      </c>
      <c r="O5" s="6">
        <f t="shared" si="0"/>
        <v>44985</v>
      </c>
      <c r="P5" s="6">
        <f t="shared" si="0"/>
        <v>44986</v>
      </c>
      <c r="Q5" s="6">
        <f t="shared" si="0"/>
        <v>44987</v>
      </c>
      <c r="R5" s="6">
        <f t="shared" si="0"/>
        <v>44988</v>
      </c>
      <c r="S5" s="6">
        <f t="shared" si="0"/>
        <v>44989</v>
      </c>
      <c r="T5" s="7">
        <f t="shared" si="0"/>
        <v>44990</v>
      </c>
      <c r="U5" s="5">
        <f t="shared" si="0"/>
        <v>44991</v>
      </c>
      <c r="V5" s="6">
        <f t="shared" si="0"/>
        <v>44992</v>
      </c>
      <c r="W5" s="6">
        <f t="shared" si="0"/>
        <v>44993</v>
      </c>
      <c r="X5" s="6">
        <f t="shared" si="0"/>
        <v>44994</v>
      </c>
      <c r="Y5" s="6">
        <f t="shared" si="0"/>
        <v>44995</v>
      </c>
      <c r="Z5" s="6">
        <f t="shared" si="0"/>
        <v>44996</v>
      </c>
      <c r="AA5" s="7">
        <f t="shared" si="0"/>
        <v>44997</v>
      </c>
      <c r="AB5" s="5">
        <f t="shared" si="0"/>
        <v>44998</v>
      </c>
      <c r="AC5" s="6">
        <f t="shared" si="0"/>
        <v>44999</v>
      </c>
      <c r="AD5" s="6">
        <f t="shared" si="0"/>
        <v>45000</v>
      </c>
      <c r="AE5" s="6">
        <f t="shared" si="0"/>
        <v>45001</v>
      </c>
      <c r="AF5" s="6">
        <f t="shared" si="0"/>
        <v>45002</v>
      </c>
      <c r="AG5" s="6">
        <f t="shared" si="0"/>
        <v>45003</v>
      </c>
      <c r="AH5" s="7">
        <f t="shared" si="0"/>
        <v>45004</v>
      </c>
      <c r="AI5" s="5">
        <f t="shared" si="0"/>
        <v>45005</v>
      </c>
      <c r="AJ5" s="6">
        <f t="shared" si="0"/>
        <v>45006</v>
      </c>
      <c r="AK5" s="6">
        <f t="shared" si="0"/>
        <v>45007</v>
      </c>
      <c r="AL5" s="6">
        <f t="shared" si="0"/>
        <v>45008</v>
      </c>
      <c r="AM5" s="6">
        <f t="shared" si="0"/>
        <v>45009</v>
      </c>
      <c r="AN5" s="6">
        <f t="shared" si="0"/>
        <v>45010</v>
      </c>
      <c r="AO5" s="7">
        <f t="shared" si="0"/>
        <v>45011</v>
      </c>
      <c r="AP5" s="5">
        <f t="shared" si="0"/>
        <v>45012</v>
      </c>
      <c r="AQ5" s="6">
        <f t="shared" si="0"/>
        <v>45013</v>
      </c>
      <c r="AR5" s="6">
        <f t="shared" si="0"/>
        <v>45014</v>
      </c>
      <c r="AS5" s="6">
        <f t="shared" si="0"/>
        <v>45015</v>
      </c>
      <c r="AT5" s="6">
        <f t="shared" si="0"/>
        <v>45016</v>
      </c>
      <c r="AU5" s="6">
        <f t="shared" si="0"/>
        <v>45017</v>
      </c>
      <c r="AV5" s="7">
        <f t="shared" si="0"/>
        <v>45018</v>
      </c>
      <c r="AW5" s="5">
        <f t="shared" si="0"/>
        <v>45019</v>
      </c>
      <c r="AX5" s="6">
        <f t="shared" si="0"/>
        <v>45020</v>
      </c>
      <c r="AY5" s="6">
        <f t="shared" si="0"/>
        <v>45021</v>
      </c>
      <c r="AZ5" s="6">
        <f t="shared" si="0"/>
        <v>45022</v>
      </c>
      <c r="BA5" s="6">
        <f t="shared" si="0"/>
        <v>45023</v>
      </c>
      <c r="BB5" s="6">
        <f t="shared" si="0"/>
        <v>45024</v>
      </c>
      <c r="BC5" s="7">
        <f t="shared" si="0"/>
        <v>45025</v>
      </c>
      <c r="BD5" s="5">
        <f t="shared" si="0"/>
        <v>45026</v>
      </c>
      <c r="BE5" s="6">
        <f t="shared" si="0"/>
        <v>45027</v>
      </c>
      <c r="BF5" s="6">
        <f t="shared" si="0"/>
        <v>45028</v>
      </c>
      <c r="BG5" s="6">
        <f t="shared" si="0"/>
        <v>45029</v>
      </c>
      <c r="BH5" s="6">
        <f t="shared" si="0"/>
        <v>45030</v>
      </c>
      <c r="BI5" s="6">
        <f t="shared" si="0"/>
        <v>45031</v>
      </c>
      <c r="BJ5" s="7">
        <f t="shared" si="0"/>
        <v>45032</v>
      </c>
      <c r="BK5" s="5">
        <f t="shared" si="0"/>
        <v>45033</v>
      </c>
      <c r="BL5" s="6">
        <f t="shared" si="0"/>
        <v>45034</v>
      </c>
      <c r="BM5" s="6">
        <f t="shared" si="0"/>
        <v>45035</v>
      </c>
      <c r="BN5" s="6">
        <f t="shared" si="0"/>
        <v>45036</v>
      </c>
      <c r="BO5" s="6">
        <f t="shared" si="0"/>
        <v>45037</v>
      </c>
      <c r="BP5" s="6">
        <f t="shared" si="0"/>
        <v>45038</v>
      </c>
      <c r="BQ5" s="7">
        <f t="shared" si="0"/>
        <v>45039</v>
      </c>
      <c r="BR5" s="5">
        <f t="shared" si="0"/>
        <v>45040</v>
      </c>
      <c r="BS5" s="6">
        <f t="shared" si="0"/>
        <v>45041</v>
      </c>
      <c r="BT5" s="6">
        <f t="shared" si="0"/>
        <v>45042</v>
      </c>
      <c r="BU5" s="6">
        <f t="shared" ref="BU5:DN5" si="1">BT5+1</f>
        <v>45043</v>
      </c>
      <c r="BV5" s="6">
        <f t="shared" si="1"/>
        <v>45044</v>
      </c>
      <c r="BW5" s="6">
        <f t="shared" si="1"/>
        <v>45045</v>
      </c>
      <c r="BX5" s="7">
        <f t="shared" si="1"/>
        <v>45046</v>
      </c>
      <c r="BY5" s="5">
        <f t="shared" si="1"/>
        <v>45047</v>
      </c>
      <c r="BZ5" s="6">
        <f t="shared" si="1"/>
        <v>45048</v>
      </c>
      <c r="CA5" s="6">
        <f t="shared" si="1"/>
        <v>45049</v>
      </c>
      <c r="CB5" s="6">
        <f t="shared" si="1"/>
        <v>45050</v>
      </c>
      <c r="CC5" s="6">
        <f t="shared" si="1"/>
        <v>45051</v>
      </c>
      <c r="CD5" s="6">
        <f t="shared" si="1"/>
        <v>45052</v>
      </c>
      <c r="CE5" s="7">
        <f t="shared" si="1"/>
        <v>45053</v>
      </c>
      <c r="CF5" s="5">
        <f t="shared" si="1"/>
        <v>45054</v>
      </c>
      <c r="CG5" s="6">
        <f t="shared" si="1"/>
        <v>45055</v>
      </c>
      <c r="CH5" s="6">
        <f t="shared" si="1"/>
        <v>45056</v>
      </c>
      <c r="CI5" s="6">
        <f t="shared" si="1"/>
        <v>45057</v>
      </c>
      <c r="CJ5" s="6">
        <f t="shared" si="1"/>
        <v>45058</v>
      </c>
      <c r="CK5" s="6">
        <f t="shared" si="1"/>
        <v>45059</v>
      </c>
      <c r="CL5" s="7">
        <f t="shared" si="1"/>
        <v>45060</v>
      </c>
      <c r="CM5" s="5">
        <f t="shared" si="1"/>
        <v>45061</v>
      </c>
      <c r="CN5" s="6">
        <f t="shared" si="1"/>
        <v>45062</v>
      </c>
      <c r="CO5" s="6">
        <f t="shared" si="1"/>
        <v>45063</v>
      </c>
      <c r="CP5" s="6">
        <f t="shared" si="1"/>
        <v>45064</v>
      </c>
      <c r="CQ5" s="6">
        <f t="shared" si="1"/>
        <v>45065</v>
      </c>
      <c r="CR5" s="6">
        <f t="shared" si="1"/>
        <v>45066</v>
      </c>
      <c r="CS5" s="7">
        <f t="shared" si="1"/>
        <v>45067</v>
      </c>
      <c r="CT5" s="5">
        <f t="shared" si="1"/>
        <v>45068</v>
      </c>
      <c r="CU5" s="6">
        <f t="shared" si="1"/>
        <v>45069</v>
      </c>
      <c r="CV5" s="6">
        <f t="shared" si="1"/>
        <v>45070</v>
      </c>
      <c r="CW5" s="6">
        <f t="shared" si="1"/>
        <v>45071</v>
      </c>
      <c r="CX5" s="6">
        <f t="shared" si="1"/>
        <v>45072</v>
      </c>
      <c r="CY5" s="6">
        <f t="shared" si="1"/>
        <v>45073</v>
      </c>
      <c r="CZ5" s="7">
        <f t="shared" si="1"/>
        <v>45074</v>
      </c>
      <c r="DA5" s="5">
        <f t="shared" si="1"/>
        <v>45075</v>
      </c>
      <c r="DB5" s="6">
        <f t="shared" si="1"/>
        <v>45076</v>
      </c>
      <c r="DC5" s="6">
        <f t="shared" si="1"/>
        <v>45077</v>
      </c>
      <c r="DD5" s="6">
        <f t="shared" si="1"/>
        <v>45078</v>
      </c>
      <c r="DE5" s="6">
        <f t="shared" si="1"/>
        <v>45079</v>
      </c>
      <c r="DF5" s="6">
        <f t="shared" si="1"/>
        <v>45080</v>
      </c>
      <c r="DG5" s="7">
        <f t="shared" si="1"/>
        <v>45081</v>
      </c>
      <c r="DH5" s="5">
        <f t="shared" si="1"/>
        <v>45082</v>
      </c>
      <c r="DI5" s="6">
        <f t="shared" si="1"/>
        <v>45083</v>
      </c>
      <c r="DJ5" s="6">
        <f t="shared" si="1"/>
        <v>45084</v>
      </c>
      <c r="DK5" s="6">
        <f t="shared" si="1"/>
        <v>45085</v>
      </c>
      <c r="DL5" s="6">
        <f t="shared" si="1"/>
        <v>45086</v>
      </c>
      <c r="DM5" s="6">
        <f t="shared" si="1"/>
        <v>45087</v>
      </c>
      <c r="DN5" s="7">
        <f t="shared" si="1"/>
        <v>45088</v>
      </c>
    </row>
    <row r="6" spans="1:118" x14ac:dyDescent="0.2">
      <c r="A6" s="12" t="s">
        <v>0</v>
      </c>
      <c r="B6" s="17" t="s">
        <v>12</v>
      </c>
      <c r="C6" s="12" t="s">
        <v>5</v>
      </c>
      <c r="D6" s="12" t="s">
        <v>1</v>
      </c>
      <c r="E6" s="12" t="s">
        <v>2</v>
      </c>
      <c r="F6" s="1"/>
      <c r="G6" s="2" t="str">
        <f>LEFT(TEXT(G5,"ddd"), 1)</f>
        <v>M</v>
      </c>
      <c r="H6" s="2" t="str">
        <f t="shared" ref="H6:M6" si="2">LEFT(TEXT(H5,"ddd"), 1)</f>
        <v>T</v>
      </c>
      <c r="I6" s="2" t="str">
        <f t="shared" si="2"/>
        <v>W</v>
      </c>
      <c r="J6" s="2" t="str">
        <f t="shared" si="2"/>
        <v>T</v>
      </c>
      <c r="K6" s="2" t="str">
        <f t="shared" si="2"/>
        <v>F</v>
      </c>
      <c r="L6" s="2" t="str">
        <f t="shared" si="2"/>
        <v>S</v>
      </c>
      <c r="M6" s="2" t="str">
        <f t="shared" si="2"/>
        <v>S</v>
      </c>
      <c r="N6" s="2" t="str">
        <f>LEFT(TEXT(N5,"ddd"), 1)</f>
        <v>M</v>
      </c>
      <c r="O6" s="2" t="str">
        <f>LEFT(TEXT(O5,"ddd"), 1)</f>
        <v>T</v>
      </c>
      <c r="P6" s="2" t="str">
        <f t="shared" ref="P6" si="3">LEFT(TEXT(P5,"ddd"), 1)</f>
        <v>W</v>
      </c>
      <c r="Q6" s="2" t="str">
        <f t="shared" ref="Q6" si="4">LEFT(TEXT(Q5,"ddd"), 1)</f>
        <v>T</v>
      </c>
      <c r="R6" s="2" t="str">
        <f t="shared" ref="R6" si="5">LEFT(TEXT(R5,"ddd"), 1)</f>
        <v>F</v>
      </c>
      <c r="S6" s="2" t="str">
        <f t="shared" ref="S6" si="6">LEFT(TEXT(S5,"ddd"), 1)</f>
        <v>S</v>
      </c>
      <c r="T6" s="2" t="str">
        <f t="shared" ref="T6" si="7">LEFT(TEXT(T5,"ddd"), 1)</f>
        <v>S</v>
      </c>
      <c r="U6" s="2" t="str">
        <f>LEFT(TEXT(U5,"ddd"), 1)</f>
        <v>M</v>
      </c>
      <c r="V6" s="2" t="str">
        <f t="shared" ref="V6" si="8">LEFT(TEXT(V5,"ddd"), 1)</f>
        <v>T</v>
      </c>
      <c r="W6" s="2" t="str">
        <f t="shared" ref="W6" si="9">LEFT(TEXT(W5,"ddd"), 1)</f>
        <v>W</v>
      </c>
      <c r="X6" s="2" t="str">
        <f t="shared" ref="X6" si="10">LEFT(TEXT(X5,"ddd"), 1)</f>
        <v>T</v>
      </c>
      <c r="Y6" s="2" t="str">
        <f t="shared" ref="Y6" si="11">LEFT(TEXT(Y5,"ddd"), 1)</f>
        <v>F</v>
      </c>
      <c r="Z6" s="2" t="str">
        <f t="shared" ref="Z6" si="12">LEFT(TEXT(Z5,"ddd"), 1)</f>
        <v>S</v>
      </c>
      <c r="AA6" s="2" t="str">
        <f t="shared" ref="AA6" si="13">LEFT(TEXT(AA5,"ddd"), 1)</f>
        <v>S</v>
      </c>
      <c r="AB6" s="2" t="str">
        <f>LEFT(TEXT(AB5,"ddd"), 1)</f>
        <v>M</v>
      </c>
      <c r="AC6" s="2" t="str">
        <f t="shared" ref="AC6" si="14">LEFT(TEXT(AC5,"ddd"), 1)</f>
        <v>T</v>
      </c>
      <c r="AD6" s="2" t="str">
        <f t="shared" ref="AD6" si="15">LEFT(TEXT(AD5,"ddd"), 1)</f>
        <v>W</v>
      </c>
      <c r="AE6" s="2" t="str">
        <f t="shared" ref="AE6" si="16">LEFT(TEXT(AE5,"ddd"), 1)</f>
        <v>T</v>
      </c>
      <c r="AF6" s="2" t="str">
        <f t="shared" ref="AF6" si="17">LEFT(TEXT(AF5,"ddd"), 1)</f>
        <v>F</v>
      </c>
      <c r="AG6" s="2" t="str">
        <f t="shared" ref="AG6" si="18">LEFT(TEXT(AG5,"ddd"), 1)</f>
        <v>S</v>
      </c>
      <c r="AH6" s="2" t="str">
        <f t="shared" ref="AH6" si="19">LEFT(TEXT(AH5,"ddd"), 1)</f>
        <v>S</v>
      </c>
      <c r="AI6" s="2" t="str">
        <f>LEFT(TEXT(AI5,"ddd"), 1)</f>
        <v>M</v>
      </c>
      <c r="AJ6" s="2" t="str">
        <f t="shared" ref="AJ6" si="20">LEFT(TEXT(AJ5,"ddd"), 1)</f>
        <v>T</v>
      </c>
      <c r="AK6" s="2" t="str">
        <f t="shared" ref="AK6" si="21">LEFT(TEXT(AK5,"ddd"), 1)</f>
        <v>W</v>
      </c>
      <c r="AL6" s="2" t="str">
        <f t="shared" ref="AL6" si="22">LEFT(TEXT(AL5,"ddd"), 1)</f>
        <v>T</v>
      </c>
      <c r="AM6" s="2" t="str">
        <f t="shared" ref="AM6" si="23">LEFT(TEXT(AM5,"ddd"), 1)</f>
        <v>F</v>
      </c>
      <c r="AN6" s="2" t="str">
        <f t="shared" ref="AN6" si="24">LEFT(TEXT(AN5,"ddd"), 1)</f>
        <v>S</v>
      </c>
      <c r="AO6" s="2" t="str">
        <f t="shared" ref="AO6" si="25">LEFT(TEXT(AO5,"ddd"), 1)</f>
        <v>S</v>
      </c>
      <c r="AP6" s="2" t="str">
        <f>LEFT(TEXT(AP5,"ddd"), 1)</f>
        <v>M</v>
      </c>
      <c r="AQ6" s="2" t="str">
        <f t="shared" ref="AQ6" si="26">LEFT(TEXT(AQ5,"ddd"), 1)</f>
        <v>T</v>
      </c>
      <c r="AR6" s="2" t="str">
        <f t="shared" ref="AR6" si="27">LEFT(TEXT(AR5,"ddd"), 1)</f>
        <v>W</v>
      </c>
      <c r="AS6" s="2" t="str">
        <f t="shared" ref="AS6" si="28">LEFT(TEXT(AS5,"ddd"), 1)</f>
        <v>T</v>
      </c>
      <c r="AT6" s="2" t="str">
        <f t="shared" ref="AT6" si="29">LEFT(TEXT(AT5,"ddd"), 1)</f>
        <v>F</v>
      </c>
      <c r="AU6" s="2" t="str">
        <f t="shared" ref="AU6" si="30">LEFT(TEXT(AU5,"ddd"), 1)</f>
        <v>S</v>
      </c>
      <c r="AV6" s="2" t="str">
        <f t="shared" ref="AV6" si="31">LEFT(TEXT(AV5,"ddd"), 1)</f>
        <v>S</v>
      </c>
      <c r="AW6" s="2" t="str">
        <f>LEFT(TEXT(AW5,"ddd"), 1)</f>
        <v>M</v>
      </c>
      <c r="AX6" s="2" t="str">
        <f t="shared" ref="AX6" si="32">LEFT(TEXT(AX5,"ddd"), 1)</f>
        <v>T</v>
      </c>
      <c r="AY6" s="2" t="str">
        <f t="shared" ref="AY6" si="33">LEFT(TEXT(AY5,"ddd"), 1)</f>
        <v>W</v>
      </c>
      <c r="AZ6" s="2" t="str">
        <f t="shared" ref="AZ6" si="34">LEFT(TEXT(AZ5,"ddd"), 1)</f>
        <v>T</v>
      </c>
      <c r="BA6" s="2" t="str">
        <f t="shared" ref="BA6" si="35">LEFT(TEXT(BA5,"ddd"), 1)</f>
        <v>F</v>
      </c>
      <c r="BB6" s="2" t="str">
        <f t="shared" ref="BB6" si="36">LEFT(TEXT(BB5,"ddd"), 1)</f>
        <v>S</v>
      </c>
      <c r="BC6" s="2" t="str">
        <f t="shared" ref="BC6" si="37">LEFT(TEXT(BC5,"ddd"), 1)</f>
        <v>S</v>
      </c>
      <c r="BD6" s="2" t="str">
        <f>LEFT(TEXT(BD5,"ddd"), 1)</f>
        <v>M</v>
      </c>
      <c r="BE6" s="2" t="str">
        <f t="shared" ref="BE6" si="38">LEFT(TEXT(BE5,"ddd"), 1)</f>
        <v>T</v>
      </c>
      <c r="BF6" s="2" t="str">
        <f t="shared" ref="BF6" si="39">LEFT(TEXT(BF5,"ddd"), 1)</f>
        <v>W</v>
      </c>
      <c r="BG6" s="2" t="str">
        <f t="shared" ref="BG6" si="40">LEFT(TEXT(BG5,"ddd"), 1)</f>
        <v>T</v>
      </c>
      <c r="BH6" s="2" t="str">
        <f t="shared" ref="BH6" si="41">LEFT(TEXT(BH5,"ddd"), 1)</f>
        <v>F</v>
      </c>
      <c r="BI6" s="2" t="str">
        <f t="shared" ref="BI6" si="42">LEFT(TEXT(BI5,"ddd"), 1)</f>
        <v>S</v>
      </c>
      <c r="BJ6" s="2" t="str">
        <f t="shared" ref="BJ6" si="43">LEFT(TEXT(BJ5,"ddd"), 1)</f>
        <v>S</v>
      </c>
      <c r="BK6" s="2" t="str">
        <f>LEFT(TEXT(BK5,"ddd"), 1)</f>
        <v>M</v>
      </c>
      <c r="BL6" s="2" t="str">
        <f t="shared" ref="BL6" si="44">LEFT(TEXT(BL5,"ddd"), 1)</f>
        <v>T</v>
      </c>
      <c r="BM6" s="2" t="str">
        <f t="shared" ref="BM6" si="45">LEFT(TEXT(BM5,"ddd"), 1)</f>
        <v>W</v>
      </c>
      <c r="BN6" s="2" t="str">
        <f t="shared" ref="BN6" si="46">LEFT(TEXT(BN5,"ddd"), 1)</f>
        <v>T</v>
      </c>
      <c r="BO6" s="2" t="str">
        <f t="shared" ref="BO6" si="47">LEFT(TEXT(BO5,"ddd"), 1)</f>
        <v>F</v>
      </c>
      <c r="BP6" s="2" t="str">
        <f t="shared" ref="BP6" si="48">LEFT(TEXT(BP5,"ddd"), 1)</f>
        <v>S</v>
      </c>
      <c r="BQ6" s="2" t="str">
        <f t="shared" ref="BQ6" si="49">LEFT(TEXT(BQ5,"ddd"), 1)</f>
        <v>S</v>
      </c>
      <c r="BR6" s="2" t="str">
        <f>LEFT(TEXT(BR5,"ddd"), 1)</f>
        <v>M</v>
      </c>
      <c r="BS6" s="2" t="str">
        <f t="shared" ref="BS6" si="50">LEFT(TEXT(BS5,"ddd"), 1)</f>
        <v>T</v>
      </c>
      <c r="BT6" s="2" t="str">
        <f t="shared" ref="BT6" si="51">LEFT(TEXT(BT5,"ddd"), 1)</f>
        <v>W</v>
      </c>
      <c r="BU6" s="2" t="str">
        <f t="shared" ref="BU6" si="52">LEFT(TEXT(BU5,"ddd"), 1)</f>
        <v>T</v>
      </c>
      <c r="BV6" s="2" t="str">
        <f t="shared" ref="BV6" si="53">LEFT(TEXT(BV5,"ddd"), 1)</f>
        <v>F</v>
      </c>
      <c r="BW6" s="2" t="str">
        <f t="shared" ref="BW6" si="54">LEFT(TEXT(BW5,"ddd"), 1)</f>
        <v>S</v>
      </c>
      <c r="BX6" s="2" t="str">
        <f t="shared" ref="BX6" si="55">LEFT(TEXT(BX5,"ddd"), 1)</f>
        <v>S</v>
      </c>
      <c r="BY6" s="2" t="str">
        <f>LEFT(TEXT(BY5,"ddd"), 1)</f>
        <v>M</v>
      </c>
      <c r="BZ6" s="2" t="str">
        <f t="shared" ref="BZ6" si="56">LEFT(TEXT(BZ5,"ddd"), 1)</f>
        <v>T</v>
      </c>
      <c r="CA6" s="2" t="str">
        <f t="shared" ref="CA6" si="57">LEFT(TEXT(CA5,"ddd"), 1)</f>
        <v>W</v>
      </c>
      <c r="CB6" s="2" t="str">
        <f t="shared" ref="CB6" si="58">LEFT(TEXT(CB5,"ddd"), 1)</f>
        <v>T</v>
      </c>
      <c r="CC6" s="2" t="str">
        <f t="shared" ref="CC6" si="59">LEFT(TEXT(CC5,"ddd"), 1)</f>
        <v>F</v>
      </c>
      <c r="CD6" s="2" t="str">
        <f t="shared" ref="CD6" si="60">LEFT(TEXT(CD5,"ddd"), 1)</f>
        <v>S</v>
      </c>
      <c r="CE6" s="2" t="str">
        <f t="shared" ref="CE6" si="61">LEFT(TEXT(CE5,"ddd"), 1)</f>
        <v>S</v>
      </c>
      <c r="CF6" s="2" t="str">
        <f>LEFT(TEXT(CF5,"ddd"), 1)</f>
        <v>M</v>
      </c>
      <c r="CG6" s="2" t="str">
        <f t="shared" ref="CG6" si="62">LEFT(TEXT(CG5,"ddd"), 1)</f>
        <v>T</v>
      </c>
      <c r="CH6" s="2" t="str">
        <f t="shared" ref="CH6" si="63">LEFT(TEXT(CH5,"ddd"), 1)</f>
        <v>W</v>
      </c>
      <c r="CI6" s="2" t="str">
        <f t="shared" ref="CI6" si="64">LEFT(TEXT(CI5,"ddd"), 1)</f>
        <v>T</v>
      </c>
      <c r="CJ6" s="2" t="str">
        <f t="shared" ref="CJ6" si="65">LEFT(TEXT(CJ5,"ddd"), 1)</f>
        <v>F</v>
      </c>
      <c r="CK6" s="2" t="str">
        <f t="shared" ref="CK6" si="66">LEFT(TEXT(CK5,"ddd"), 1)</f>
        <v>S</v>
      </c>
      <c r="CL6" s="2" t="str">
        <f t="shared" ref="CL6" si="67">LEFT(TEXT(CL5,"ddd"), 1)</f>
        <v>S</v>
      </c>
      <c r="CM6" s="2" t="str">
        <f>LEFT(TEXT(CM5,"ddd"), 1)</f>
        <v>M</v>
      </c>
      <c r="CN6" s="2" t="str">
        <f t="shared" ref="CN6" si="68">LEFT(TEXT(CN5,"ddd"), 1)</f>
        <v>T</v>
      </c>
      <c r="CO6" s="2" t="str">
        <f t="shared" ref="CO6" si="69">LEFT(TEXT(CO5,"ddd"), 1)</f>
        <v>W</v>
      </c>
      <c r="CP6" s="2" t="str">
        <f t="shared" ref="CP6" si="70">LEFT(TEXT(CP5,"ddd"), 1)</f>
        <v>T</v>
      </c>
      <c r="CQ6" s="2" t="str">
        <f t="shared" ref="CQ6" si="71">LEFT(TEXT(CQ5,"ddd"), 1)</f>
        <v>F</v>
      </c>
      <c r="CR6" s="2" t="str">
        <f t="shared" ref="CR6" si="72">LEFT(TEXT(CR5,"ddd"), 1)</f>
        <v>S</v>
      </c>
      <c r="CS6" s="2" t="str">
        <f t="shared" ref="CS6" si="73">LEFT(TEXT(CS5,"ddd"), 1)</f>
        <v>S</v>
      </c>
      <c r="CT6" s="2" t="str">
        <f>LEFT(TEXT(CT5,"ddd"), 1)</f>
        <v>M</v>
      </c>
      <c r="CU6" s="2" t="str">
        <f t="shared" ref="CU6" si="74">LEFT(TEXT(CU5,"ddd"), 1)</f>
        <v>T</v>
      </c>
      <c r="CV6" s="2" t="str">
        <f t="shared" ref="CV6" si="75">LEFT(TEXT(CV5,"ddd"), 1)</f>
        <v>W</v>
      </c>
      <c r="CW6" s="2" t="str">
        <f t="shared" ref="CW6" si="76">LEFT(TEXT(CW5,"ddd"), 1)</f>
        <v>T</v>
      </c>
      <c r="CX6" s="2" t="str">
        <f t="shared" ref="CX6" si="77">LEFT(TEXT(CX5,"ddd"), 1)</f>
        <v>F</v>
      </c>
      <c r="CY6" s="2" t="str">
        <f t="shared" ref="CY6" si="78">LEFT(TEXT(CY5,"ddd"), 1)</f>
        <v>S</v>
      </c>
      <c r="CZ6" s="2" t="str">
        <f t="shared" ref="CZ6" si="79">LEFT(TEXT(CZ5,"ddd"), 1)</f>
        <v>S</v>
      </c>
      <c r="DA6" s="2" t="str">
        <f>LEFT(TEXT(DA5,"ddd"), 1)</f>
        <v>M</v>
      </c>
      <c r="DB6" s="2" t="str">
        <f t="shared" ref="DB6" si="80">LEFT(TEXT(DB5,"ddd"), 1)</f>
        <v>T</v>
      </c>
      <c r="DC6" s="2" t="str">
        <f t="shared" ref="DC6" si="81">LEFT(TEXT(DC5,"ddd"), 1)</f>
        <v>W</v>
      </c>
      <c r="DD6" s="2" t="str">
        <f t="shared" ref="DD6" si="82">LEFT(TEXT(DD5,"ddd"), 1)</f>
        <v>T</v>
      </c>
      <c r="DE6" s="2" t="str">
        <f t="shared" ref="DE6" si="83">LEFT(TEXT(DE5,"ddd"), 1)</f>
        <v>F</v>
      </c>
      <c r="DF6" s="2" t="str">
        <f t="shared" ref="DF6" si="84">LEFT(TEXT(DF5,"ddd"), 1)</f>
        <v>S</v>
      </c>
      <c r="DG6" s="2" t="str">
        <f t="shared" ref="DG6" si="85">LEFT(TEXT(DG5,"ddd"), 1)</f>
        <v>S</v>
      </c>
      <c r="DH6" s="2" t="str">
        <f>LEFT(TEXT(DH5,"ddd"), 1)</f>
        <v>M</v>
      </c>
      <c r="DI6" s="2" t="str">
        <f t="shared" ref="DI6" si="86">LEFT(TEXT(DI5,"ddd"), 1)</f>
        <v>T</v>
      </c>
      <c r="DJ6" s="2" t="str">
        <f t="shared" ref="DJ6" si="87">LEFT(TEXT(DJ5,"ddd"), 1)</f>
        <v>W</v>
      </c>
      <c r="DK6" s="2" t="str">
        <f t="shared" ref="DK6" si="88">LEFT(TEXT(DK5,"ddd"), 1)</f>
        <v>T</v>
      </c>
      <c r="DL6" s="2" t="str">
        <f t="shared" ref="DL6" si="89">LEFT(TEXT(DL5,"ddd"), 1)</f>
        <v>F</v>
      </c>
      <c r="DM6" s="2" t="str">
        <f t="shared" ref="DM6" si="90">LEFT(TEXT(DM5,"ddd"), 1)</f>
        <v>S</v>
      </c>
      <c r="DN6" s="2" t="str">
        <f t="shared" ref="DN6" si="91">LEFT(TEXT(DN5,"ddd"), 1)</f>
        <v>S</v>
      </c>
    </row>
    <row r="7" spans="1:118" x14ac:dyDescent="0.2">
      <c r="A7" s="15" t="s">
        <v>7</v>
      </c>
      <c r="B7" s="15"/>
      <c r="C7" s="3"/>
      <c r="D7" s="8"/>
      <c r="E7" s="8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x14ac:dyDescent="0.2">
      <c r="A8" s="4" t="s">
        <v>14</v>
      </c>
      <c r="B8" s="4" t="s">
        <v>13</v>
      </c>
      <c r="C8" s="13">
        <v>1</v>
      </c>
      <c r="D8" s="14">
        <v>44984</v>
      </c>
      <c r="E8" s="18">
        <v>45055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x14ac:dyDescent="0.2">
      <c r="A9" s="4" t="s">
        <v>11</v>
      </c>
      <c r="B9" s="4" t="s">
        <v>15</v>
      </c>
      <c r="C9" s="13">
        <v>1</v>
      </c>
      <c r="D9" s="14">
        <v>44984</v>
      </c>
      <c r="E9" s="18">
        <v>44988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x14ac:dyDescent="0.2">
      <c r="A10" s="4" t="s">
        <v>16</v>
      </c>
      <c r="B10" s="4" t="s">
        <v>13</v>
      </c>
      <c r="C10" s="13">
        <v>1</v>
      </c>
      <c r="D10" s="14">
        <v>44984</v>
      </c>
      <c r="E10" s="18">
        <v>45005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x14ac:dyDescent="0.2">
      <c r="A11" s="4" t="s">
        <v>17</v>
      </c>
      <c r="B11" s="4" t="s">
        <v>32</v>
      </c>
      <c r="C11" s="13">
        <v>0.1</v>
      </c>
      <c r="D11" s="14">
        <v>44984</v>
      </c>
      <c r="E11" s="18">
        <v>45009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x14ac:dyDescent="0.2">
      <c r="A12" s="4" t="s">
        <v>21</v>
      </c>
      <c r="B12" s="4" t="s">
        <v>18</v>
      </c>
      <c r="C12" s="13">
        <v>1</v>
      </c>
      <c r="D12" s="14">
        <v>44984</v>
      </c>
      <c r="E12" s="18">
        <v>44995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x14ac:dyDescent="0.2">
      <c r="A13" s="4" t="s">
        <v>22</v>
      </c>
      <c r="B13" s="4" t="s">
        <v>18</v>
      </c>
      <c r="C13" s="13">
        <v>1</v>
      </c>
      <c r="D13" s="14">
        <v>44984</v>
      </c>
      <c r="E13" s="18">
        <v>44995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x14ac:dyDescent="0.2">
      <c r="A14" s="4" t="s">
        <v>33</v>
      </c>
      <c r="B14" s="4" t="s">
        <v>18</v>
      </c>
      <c r="C14" s="13">
        <v>1</v>
      </c>
      <c r="D14" s="14">
        <v>44984</v>
      </c>
      <c r="E14" s="18">
        <v>45016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x14ac:dyDescent="0.2">
      <c r="A15" s="4" t="s">
        <v>34</v>
      </c>
      <c r="B15" s="4" t="s">
        <v>18</v>
      </c>
      <c r="C15" s="13">
        <v>1</v>
      </c>
      <c r="D15" s="14">
        <v>44984</v>
      </c>
      <c r="E15" s="18">
        <v>45016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x14ac:dyDescent="0.2">
      <c r="A16" s="4" t="s">
        <v>35</v>
      </c>
      <c r="B16" s="4" t="s">
        <v>18</v>
      </c>
      <c r="C16" s="13">
        <v>1</v>
      </c>
      <c r="D16" s="14">
        <v>44984</v>
      </c>
      <c r="E16" s="18">
        <v>45016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x14ac:dyDescent="0.2">
      <c r="A17" s="4" t="s">
        <v>19</v>
      </c>
      <c r="B17" s="4" t="s">
        <v>29</v>
      </c>
      <c r="C17" s="13">
        <v>1</v>
      </c>
      <c r="D17" s="14">
        <v>44984</v>
      </c>
      <c r="E17" s="18">
        <v>44995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x14ac:dyDescent="0.2">
      <c r="A18" s="4" t="s">
        <v>20</v>
      </c>
      <c r="B18" s="4" t="s">
        <v>29</v>
      </c>
      <c r="C18" s="13">
        <v>1</v>
      </c>
      <c r="D18" s="14">
        <v>44984</v>
      </c>
      <c r="E18" s="18">
        <v>44995</v>
      </c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x14ac:dyDescent="0.2">
      <c r="A19" s="4" t="s">
        <v>36</v>
      </c>
      <c r="B19" s="4" t="s">
        <v>18</v>
      </c>
      <c r="C19" s="13">
        <v>1</v>
      </c>
      <c r="D19" s="14">
        <v>44984</v>
      </c>
      <c r="E19" s="18">
        <v>45016</v>
      </c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x14ac:dyDescent="0.2">
      <c r="A20" s="4" t="s">
        <v>37</v>
      </c>
      <c r="B20" s="4" t="s">
        <v>18</v>
      </c>
      <c r="C20" s="13">
        <v>1</v>
      </c>
      <c r="D20" s="14">
        <v>44984</v>
      </c>
      <c r="E20" s="18">
        <v>45016</v>
      </c>
      <c r="F20" s="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x14ac:dyDescent="0.2">
      <c r="A21" s="4" t="s">
        <v>38</v>
      </c>
      <c r="B21" s="4" t="s">
        <v>18</v>
      </c>
      <c r="C21" s="13">
        <v>1</v>
      </c>
      <c r="D21" s="14">
        <v>44984</v>
      </c>
      <c r="E21" s="18">
        <v>45016</v>
      </c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x14ac:dyDescent="0.2">
      <c r="A22" s="4" t="s">
        <v>23</v>
      </c>
      <c r="B22" s="4" t="s">
        <v>13</v>
      </c>
      <c r="C22" s="13">
        <v>1</v>
      </c>
      <c r="D22" s="14">
        <v>44991</v>
      </c>
      <c r="E22" s="18">
        <v>45055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x14ac:dyDescent="0.2">
      <c r="A23" s="4" t="s">
        <v>25</v>
      </c>
      <c r="B23" s="4" t="s">
        <v>18</v>
      </c>
      <c r="C23" s="13">
        <v>1</v>
      </c>
      <c r="D23" s="14">
        <v>45005</v>
      </c>
      <c r="E23" s="18">
        <v>45046</v>
      </c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x14ac:dyDescent="0.2">
      <c r="A24" s="4" t="s">
        <v>24</v>
      </c>
      <c r="B24" s="4" t="s">
        <v>18</v>
      </c>
      <c r="C24" s="13">
        <v>1</v>
      </c>
      <c r="D24" s="14">
        <v>45005</v>
      </c>
      <c r="E24" s="18">
        <v>45046</v>
      </c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x14ac:dyDescent="0.2">
      <c r="A25" s="4" t="s">
        <v>40</v>
      </c>
      <c r="B25" s="4" t="s">
        <v>18</v>
      </c>
      <c r="C25" s="13">
        <v>1</v>
      </c>
      <c r="D25" s="14">
        <v>45012</v>
      </c>
      <c r="E25" s="18">
        <v>45046</v>
      </c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spans="1:118" x14ac:dyDescent="0.2">
      <c r="A26" s="4" t="s">
        <v>30</v>
      </c>
      <c r="B26" s="4" t="s">
        <v>29</v>
      </c>
      <c r="C26" s="13">
        <v>0</v>
      </c>
      <c r="D26" s="14">
        <v>45031</v>
      </c>
      <c r="E26" s="18">
        <v>45046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spans="1:118" x14ac:dyDescent="0.2">
      <c r="A27" s="4" t="s">
        <v>31</v>
      </c>
      <c r="B27" s="4" t="s">
        <v>32</v>
      </c>
      <c r="C27" s="13">
        <v>0</v>
      </c>
      <c r="D27" s="14">
        <v>45046</v>
      </c>
      <c r="E27" s="18">
        <v>45056</v>
      </c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x14ac:dyDescent="0.2">
      <c r="A28" s="4"/>
      <c r="B28" s="4"/>
      <c r="C28" s="13"/>
      <c r="D28" s="14"/>
      <c r="E28" s="18"/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</sheetData>
  <mergeCells count="16">
    <mergeCell ref="AP4:AV4"/>
    <mergeCell ref="G4:M4"/>
    <mergeCell ref="N4:T4"/>
    <mergeCell ref="U4:AA4"/>
    <mergeCell ref="AB4:AH4"/>
    <mergeCell ref="AI4:AO4"/>
    <mergeCell ref="CM4:CS4"/>
    <mergeCell ref="CT4:CZ4"/>
    <mergeCell ref="DA4:DG4"/>
    <mergeCell ref="DH4:DN4"/>
    <mergeCell ref="AW4:BC4"/>
    <mergeCell ref="BD4:BJ4"/>
    <mergeCell ref="BK4:BQ4"/>
    <mergeCell ref="BR4:BX4"/>
    <mergeCell ref="BY4:CE4"/>
    <mergeCell ref="CF4:CL4"/>
  </mergeCells>
  <conditionalFormatting sqref="O22 O9 O11 P7:DN27 G7:N27">
    <cfRule type="expression" dxfId="15" priority="30">
      <formula>AND(G$5&gt;=$D7, G$5&lt;=$E7)</formula>
    </cfRule>
  </conditionalFormatting>
  <conditionalFormatting sqref="G5:DN28">
    <cfRule type="expression" dxfId="14" priority="28">
      <formula>G$5=TODAY()</formula>
    </cfRule>
  </conditionalFormatting>
  <conditionalFormatting sqref="C7:C28">
    <cfRule type="dataBar" priority="27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{2254B451-9DC3-48F9-BAB6-03C0C424604A}</x14:id>
        </ext>
      </extLst>
    </cfRule>
  </conditionalFormatting>
  <conditionalFormatting sqref="G7:DN28">
    <cfRule type="expression" dxfId="13" priority="26">
      <formula>1*AND(G$5&gt;=task_start,G$5&lt;=task_start+(task_progress*(task_end-task_start+1))-1)</formula>
    </cfRule>
  </conditionalFormatting>
  <conditionalFormatting sqref="P28:DN28 G28:N28">
    <cfRule type="expression" dxfId="12" priority="60">
      <formula>AND(G$5&gt;=#REF!, G$5&lt;=#REF!)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6</xdr:col>
                    <xdr:colOff>0</xdr:colOff>
                    <xdr:row>1</xdr:row>
                    <xdr:rowOff>177800</xdr:rowOff>
                  </from>
                  <to>
                    <xdr:col>23</xdr:col>
                    <xdr:colOff>127000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4B451-9DC3-48F9-BAB6-03C0C424604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C7:C28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23F8-54D2-D140-BC16-CDA10499BF5F}">
  <dimension ref="A1:DN28"/>
  <sheetViews>
    <sheetView showGridLines="0" zoomScale="85" zoomScaleNormal="60" workbookViewId="0">
      <selection activeCell="C23" sqref="C23"/>
    </sheetView>
  </sheetViews>
  <sheetFormatPr baseColWidth="10" defaultColWidth="8.83203125" defaultRowHeight="15" x14ac:dyDescent="0.2"/>
  <cols>
    <col min="1" max="1" width="29.33203125" bestFit="1" customWidth="1"/>
    <col min="2" max="2" width="15.5" customWidth="1"/>
    <col min="3" max="3" width="14.5" customWidth="1"/>
    <col min="4" max="4" width="26.5" customWidth="1"/>
    <col min="5" max="5" width="12.83203125" customWidth="1"/>
    <col min="7" max="11" width="2.5" bestFit="1" customWidth="1"/>
    <col min="12" max="13" width="2.5" customWidth="1"/>
    <col min="14" max="86" width="2.5" bestFit="1" customWidth="1"/>
    <col min="87" max="90" width="1.6640625" bestFit="1" customWidth="1"/>
    <col min="91" max="103" width="2.5" bestFit="1" customWidth="1"/>
    <col min="104" max="104" width="2.5" customWidth="1"/>
    <col min="105" max="116" width="2.5" bestFit="1" customWidth="1"/>
    <col min="117" max="118" width="1.6640625" bestFit="1" customWidth="1"/>
  </cols>
  <sheetData>
    <row r="1" spans="1:118" ht="21" x14ac:dyDescent="0.25">
      <c r="A1" s="16" t="s">
        <v>6</v>
      </c>
      <c r="B1" s="16"/>
    </row>
    <row r="3" spans="1:118" x14ac:dyDescent="0.2">
      <c r="C3" s="10" t="s">
        <v>3</v>
      </c>
      <c r="D3" s="9">
        <v>44984</v>
      </c>
    </row>
    <row r="4" spans="1:118" x14ac:dyDescent="0.2">
      <c r="C4" s="10" t="s">
        <v>4</v>
      </c>
      <c r="D4" s="11">
        <v>1</v>
      </c>
      <c r="G4" s="19">
        <f>G5</f>
        <v>44984</v>
      </c>
      <c r="H4" s="20"/>
      <c r="I4" s="20"/>
      <c r="J4" s="20"/>
      <c r="K4" s="20"/>
      <c r="L4" s="20"/>
      <c r="M4" s="21"/>
      <c r="N4" s="19">
        <f>N5</f>
        <v>44991</v>
      </c>
      <c r="O4" s="20"/>
      <c r="P4" s="20"/>
      <c r="Q4" s="20"/>
      <c r="R4" s="20"/>
      <c r="S4" s="20"/>
      <c r="T4" s="21"/>
      <c r="U4" s="19">
        <f>U5</f>
        <v>44998</v>
      </c>
      <c r="V4" s="20"/>
      <c r="W4" s="20"/>
      <c r="X4" s="20"/>
      <c r="Y4" s="20"/>
      <c r="Z4" s="20"/>
      <c r="AA4" s="21"/>
      <c r="AB4" s="19">
        <f>AB5</f>
        <v>45005</v>
      </c>
      <c r="AC4" s="20"/>
      <c r="AD4" s="20"/>
      <c r="AE4" s="20"/>
      <c r="AF4" s="20"/>
      <c r="AG4" s="20"/>
      <c r="AH4" s="21"/>
      <c r="AI4" s="19">
        <f>AI5</f>
        <v>45012</v>
      </c>
      <c r="AJ4" s="20"/>
      <c r="AK4" s="20"/>
      <c r="AL4" s="20"/>
      <c r="AM4" s="20"/>
      <c r="AN4" s="20"/>
      <c r="AO4" s="21"/>
      <c r="AP4" s="19">
        <f>AP5</f>
        <v>45019</v>
      </c>
      <c r="AQ4" s="20"/>
      <c r="AR4" s="20"/>
      <c r="AS4" s="20"/>
      <c r="AT4" s="20"/>
      <c r="AU4" s="20"/>
      <c r="AV4" s="21"/>
      <c r="AW4" s="19">
        <f>AW5</f>
        <v>45026</v>
      </c>
      <c r="AX4" s="20"/>
      <c r="AY4" s="20"/>
      <c r="AZ4" s="20"/>
      <c r="BA4" s="20"/>
      <c r="BB4" s="20"/>
      <c r="BC4" s="21"/>
      <c r="BD4" s="19">
        <f>BD5</f>
        <v>45033</v>
      </c>
      <c r="BE4" s="20"/>
      <c r="BF4" s="20"/>
      <c r="BG4" s="20"/>
      <c r="BH4" s="20"/>
      <c r="BI4" s="20"/>
      <c r="BJ4" s="21"/>
      <c r="BK4" s="19">
        <f>BK5</f>
        <v>45040</v>
      </c>
      <c r="BL4" s="20"/>
      <c r="BM4" s="20"/>
      <c r="BN4" s="20"/>
      <c r="BO4" s="20"/>
      <c r="BP4" s="20"/>
      <c r="BQ4" s="21"/>
      <c r="BR4" s="19">
        <f>BR5</f>
        <v>45047</v>
      </c>
      <c r="BS4" s="20"/>
      <c r="BT4" s="20"/>
      <c r="BU4" s="20"/>
      <c r="BV4" s="20"/>
      <c r="BW4" s="20"/>
      <c r="BX4" s="21"/>
      <c r="BY4" s="19">
        <f>BY5</f>
        <v>45054</v>
      </c>
      <c r="BZ4" s="20"/>
      <c r="CA4" s="20"/>
      <c r="CB4" s="20"/>
      <c r="CC4" s="20"/>
      <c r="CD4" s="20"/>
      <c r="CE4" s="21"/>
      <c r="CF4" s="19">
        <f>CF5</f>
        <v>45061</v>
      </c>
      <c r="CG4" s="20"/>
      <c r="CH4" s="20"/>
      <c r="CI4" s="20"/>
      <c r="CJ4" s="20"/>
      <c r="CK4" s="20"/>
      <c r="CL4" s="21"/>
      <c r="CM4" s="19">
        <f>CM5</f>
        <v>45068</v>
      </c>
      <c r="CN4" s="20"/>
      <c r="CO4" s="20"/>
      <c r="CP4" s="20"/>
      <c r="CQ4" s="20"/>
      <c r="CR4" s="20"/>
      <c r="CS4" s="21"/>
      <c r="CT4" s="19">
        <f>CT5</f>
        <v>45075</v>
      </c>
      <c r="CU4" s="20"/>
      <c r="CV4" s="20"/>
      <c r="CW4" s="20"/>
      <c r="CX4" s="20"/>
      <c r="CY4" s="20"/>
      <c r="CZ4" s="21"/>
      <c r="DA4" s="19">
        <f>DA5</f>
        <v>45082</v>
      </c>
      <c r="DB4" s="20"/>
      <c r="DC4" s="20"/>
      <c r="DD4" s="20"/>
      <c r="DE4" s="20"/>
      <c r="DF4" s="20"/>
      <c r="DG4" s="21"/>
      <c r="DH4" s="19">
        <f>DH5</f>
        <v>45089</v>
      </c>
      <c r="DI4" s="20"/>
      <c r="DJ4" s="20"/>
      <c r="DK4" s="20"/>
      <c r="DL4" s="20"/>
      <c r="DM4" s="20"/>
      <c r="DN4" s="21"/>
    </row>
    <row r="5" spans="1:118" x14ac:dyDescent="0.2">
      <c r="G5" s="5">
        <f>D3-WEEKDAY(project_start,3)+(display_week-1)*7</f>
        <v>44984</v>
      </c>
      <c r="H5" s="6">
        <f>G5+1</f>
        <v>44985</v>
      </c>
      <c r="I5" s="6">
        <f t="shared" ref="I5:BT5" si="0">H5+1</f>
        <v>44986</v>
      </c>
      <c r="J5" s="6">
        <f t="shared" si="0"/>
        <v>44987</v>
      </c>
      <c r="K5" s="6">
        <f t="shared" si="0"/>
        <v>44988</v>
      </c>
      <c r="L5" s="6">
        <f t="shared" si="0"/>
        <v>44989</v>
      </c>
      <c r="M5" s="7">
        <f t="shared" si="0"/>
        <v>44990</v>
      </c>
      <c r="N5" s="5">
        <f t="shared" si="0"/>
        <v>44991</v>
      </c>
      <c r="O5" s="6">
        <f t="shared" si="0"/>
        <v>44992</v>
      </c>
      <c r="P5" s="6">
        <f t="shared" si="0"/>
        <v>44993</v>
      </c>
      <c r="Q5" s="6">
        <f t="shared" si="0"/>
        <v>44994</v>
      </c>
      <c r="R5" s="6">
        <f t="shared" si="0"/>
        <v>44995</v>
      </c>
      <c r="S5" s="6">
        <f t="shared" si="0"/>
        <v>44996</v>
      </c>
      <c r="T5" s="7">
        <f t="shared" si="0"/>
        <v>44997</v>
      </c>
      <c r="U5" s="5">
        <f t="shared" si="0"/>
        <v>44998</v>
      </c>
      <c r="V5" s="6">
        <f t="shared" si="0"/>
        <v>44999</v>
      </c>
      <c r="W5" s="6">
        <f t="shared" si="0"/>
        <v>45000</v>
      </c>
      <c r="X5" s="6">
        <f t="shared" si="0"/>
        <v>45001</v>
      </c>
      <c r="Y5" s="6">
        <f t="shared" si="0"/>
        <v>45002</v>
      </c>
      <c r="Z5" s="6">
        <f t="shared" si="0"/>
        <v>45003</v>
      </c>
      <c r="AA5" s="7">
        <f t="shared" si="0"/>
        <v>45004</v>
      </c>
      <c r="AB5" s="5">
        <f t="shared" si="0"/>
        <v>45005</v>
      </c>
      <c r="AC5" s="6">
        <f t="shared" si="0"/>
        <v>45006</v>
      </c>
      <c r="AD5" s="6">
        <f t="shared" si="0"/>
        <v>45007</v>
      </c>
      <c r="AE5" s="6">
        <f t="shared" si="0"/>
        <v>45008</v>
      </c>
      <c r="AF5" s="6">
        <f t="shared" si="0"/>
        <v>45009</v>
      </c>
      <c r="AG5" s="6">
        <f t="shared" si="0"/>
        <v>45010</v>
      </c>
      <c r="AH5" s="7">
        <f t="shared" si="0"/>
        <v>45011</v>
      </c>
      <c r="AI5" s="5">
        <f t="shared" si="0"/>
        <v>45012</v>
      </c>
      <c r="AJ5" s="6">
        <f t="shared" si="0"/>
        <v>45013</v>
      </c>
      <c r="AK5" s="6">
        <f t="shared" si="0"/>
        <v>45014</v>
      </c>
      <c r="AL5" s="6">
        <f t="shared" si="0"/>
        <v>45015</v>
      </c>
      <c r="AM5" s="6">
        <f t="shared" si="0"/>
        <v>45016</v>
      </c>
      <c r="AN5" s="6">
        <f t="shared" si="0"/>
        <v>45017</v>
      </c>
      <c r="AO5" s="7">
        <f t="shared" si="0"/>
        <v>45018</v>
      </c>
      <c r="AP5" s="5">
        <f t="shared" si="0"/>
        <v>45019</v>
      </c>
      <c r="AQ5" s="6">
        <f t="shared" si="0"/>
        <v>45020</v>
      </c>
      <c r="AR5" s="6">
        <f t="shared" si="0"/>
        <v>45021</v>
      </c>
      <c r="AS5" s="6">
        <f t="shared" si="0"/>
        <v>45022</v>
      </c>
      <c r="AT5" s="6">
        <f t="shared" si="0"/>
        <v>45023</v>
      </c>
      <c r="AU5" s="6">
        <f t="shared" si="0"/>
        <v>45024</v>
      </c>
      <c r="AV5" s="7">
        <f t="shared" si="0"/>
        <v>45025</v>
      </c>
      <c r="AW5" s="5">
        <f t="shared" si="0"/>
        <v>45026</v>
      </c>
      <c r="AX5" s="6">
        <f t="shared" si="0"/>
        <v>45027</v>
      </c>
      <c r="AY5" s="6">
        <f t="shared" si="0"/>
        <v>45028</v>
      </c>
      <c r="AZ5" s="6">
        <f t="shared" si="0"/>
        <v>45029</v>
      </c>
      <c r="BA5" s="6">
        <f t="shared" si="0"/>
        <v>45030</v>
      </c>
      <c r="BB5" s="6">
        <f t="shared" si="0"/>
        <v>45031</v>
      </c>
      <c r="BC5" s="7">
        <f t="shared" si="0"/>
        <v>45032</v>
      </c>
      <c r="BD5" s="5">
        <f t="shared" si="0"/>
        <v>45033</v>
      </c>
      <c r="BE5" s="6">
        <f t="shared" si="0"/>
        <v>45034</v>
      </c>
      <c r="BF5" s="6">
        <f t="shared" si="0"/>
        <v>45035</v>
      </c>
      <c r="BG5" s="6">
        <f t="shared" si="0"/>
        <v>45036</v>
      </c>
      <c r="BH5" s="6">
        <f t="shared" si="0"/>
        <v>45037</v>
      </c>
      <c r="BI5" s="6">
        <f t="shared" si="0"/>
        <v>45038</v>
      </c>
      <c r="BJ5" s="7">
        <f t="shared" si="0"/>
        <v>45039</v>
      </c>
      <c r="BK5" s="5">
        <f t="shared" si="0"/>
        <v>45040</v>
      </c>
      <c r="BL5" s="6">
        <f t="shared" si="0"/>
        <v>45041</v>
      </c>
      <c r="BM5" s="6">
        <f t="shared" si="0"/>
        <v>45042</v>
      </c>
      <c r="BN5" s="6">
        <f t="shared" si="0"/>
        <v>45043</v>
      </c>
      <c r="BO5" s="6">
        <f t="shared" si="0"/>
        <v>45044</v>
      </c>
      <c r="BP5" s="6">
        <f t="shared" si="0"/>
        <v>45045</v>
      </c>
      <c r="BQ5" s="7">
        <f t="shared" si="0"/>
        <v>45046</v>
      </c>
      <c r="BR5" s="5">
        <f t="shared" si="0"/>
        <v>45047</v>
      </c>
      <c r="BS5" s="6">
        <f t="shared" si="0"/>
        <v>45048</v>
      </c>
      <c r="BT5" s="6">
        <f t="shared" si="0"/>
        <v>45049</v>
      </c>
      <c r="BU5" s="6">
        <f t="shared" ref="BU5:DN5" si="1">BT5+1</f>
        <v>45050</v>
      </c>
      <c r="BV5" s="6">
        <f t="shared" si="1"/>
        <v>45051</v>
      </c>
      <c r="BW5" s="6">
        <f t="shared" si="1"/>
        <v>45052</v>
      </c>
      <c r="BX5" s="7">
        <f t="shared" si="1"/>
        <v>45053</v>
      </c>
      <c r="BY5" s="5">
        <f t="shared" si="1"/>
        <v>45054</v>
      </c>
      <c r="BZ5" s="6">
        <f t="shared" si="1"/>
        <v>45055</v>
      </c>
      <c r="CA5" s="6">
        <f t="shared" si="1"/>
        <v>45056</v>
      </c>
      <c r="CB5" s="6">
        <f t="shared" si="1"/>
        <v>45057</v>
      </c>
      <c r="CC5" s="6">
        <f t="shared" si="1"/>
        <v>45058</v>
      </c>
      <c r="CD5" s="6">
        <f t="shared" si="1"/>
        <v>45059</v>
      </c>
      <c r="CE5" s="7">
        <f t="shared" si="1"/>
        <v>45060</v>
      </c>
      <c r="CF5" s="5">
        <f t="shared" si="1"/>
        <v>45061</v>
      </c>
      <c r="CG5" s="6">
        <f t="shared" si="1"/>
        <v>45062</v>
      </c>
      <c r="CH5" s="6">
        <f t="shared" si="1"/>
        <v>45063</v>
      </c>
      <c r="CI5" s="6">
        <f t="shared" si="1"/>
        <v>45064</v>
      </c>
      <c r="CJ5" s="6">
        <f t="shared" si="1"/>
        <v>45065</v>
      </c>
      <c r="CK5" s="6">
        <f t="shared" si="1"/>
        <v>45066</v>
      </c>
      <c r="CL5" s="7">
        <f t="shared" si="1"/>
        <v>45067</v>
      </c>
      <c r="CM5" s="5">
        <f t="shared" si="1"/>
        <v>45068</v>
      </c>
      <c r="CN5" s="6">
        <f t="shared" si="1"/>
        <v>45069</v>
      </c>
      <c r="CO5" s="6">
        <f t="shared" si="1"/>
        <v>45070</v>
      </c>
      <c r="CP5" s="6">
        <f t="shared" si="1"/>
        <v>45071</v>
      </c>
      <c r="CQ5" s="6">
        <f t="shared" si="1"/>
        <v>45072</v>
      </c>
      <c r="CR5" s="6">
        <f t="shared" si="1"/>
        <v>45073</v>
      </c>
      <c r="CS5" s="7">
        <f t="shared" si="1"/>
        <v>45074</v>
      </c>
      <c r="CT5" s="5">
        <f t="shared" si="1"/>
        <v>45075</v>
      </c>
      <c r="CU5" s="6">
        <f t="shared" si="1"/>
        <v>45076</v>
      </c>
      <c r="CV5" s="6">
        <f t="shared" si="1"/>
        <v>45077</v>
      </c>
      <c r="CW5" s="6">
        <f t="shared" si="1"/>
        <v>45078</v>
      </c>
      <c r="CX5" s="6">
        <f t="shared" si="1"/>
        <v>45079</v>
      </c>
      <c r="CY5" s="6">
        <f t="shared" si="1"/>
        <v>45080</v>
      </c>
      <c r="CZ5" s="7">
        <f t="shared" si="1"/>
        <v>45081</v>
      </c>
      <c r="DA5" s="5">
        <f t="shared" si="1"/>
        <v>45082</v>
      </c>
      <c r="DB5" s="6">
        <f t="shared" si="1"/>
        <v>45083</v>
      </c>
      <c r="DC5" s="6">
        <f t="shared" si="1"/>
        <v>45084</v>
      </c>
      <c r="DD5" s="6">
        <f t="shared" si="1"/>
        <v>45085</v>
      </c>
      <c r="DE5" s="6">
        <f t="shared" si="1"/>
        <v>45086</v>
      </c>
      <c r="DF5" s="6">
        <f t="shared" si="1"/>
        <v>45087</v>
      </c>
      <c r="DG5" s="7">
        <f t="shared" si="1"/>
        <v>45088</v>
      </c>
      <c r="DH5" s="5">
        <f t="shared" si="1"/>
        <v>45089</v>
      </c>
      <c r="DI5" s="6">
        <f t="shared" si="1"/>
        <v>45090</v>
      </c>
      <c r="DJ5" s="6">
        <f t="shared" si="1"/>
        <v>45091</v>
      </c>
      <c r="DK5" s="6">
        <f t="shared" si="1"/>
        <v>45092</v>
      </c>
      <c r="DL5" s="6">
        <f t="shared" si="1"/>
        <v>45093</v>
      </c>
      <c r="DM5" s="6">
        <f t="shared" si="1"/>
        <v>45094</v>
      </c>
      <c r="DN5" s="7">
        <f t="shared" si="1"/>
        <v>45095</v>
      </c>
    </row>
    <row r="6" spans="1:118" x14ac:dyDescent="0.2">
      <c r="A6" s="12" t="s">
        <v>0</v>
      </c>
      <c r="B6" s="17" t="s">
        <v>12</v>
      </c>
      <c r="C6" s="12" t="s">
        <v>5</v>
      </c>
      <c r="D6" s="12" t="s">
        <v>1</v>
      </c>
      <c r="E6" s="12" t="s">
        <v>2</v>
      </c>
      <c r="F6" s="1"/>
      <c r="G6" s="2" t="str">
        <f>LEFT(TEXT(G5,"ddd"), 1)</f>
        <v>M</v>
      </c>
      <c r="H6" s="2" t="str">
        <f t="shared" ref="H6:M6" si="2">LEFT(TEXT(H5,"ddd"), 1)</f>
        <v>T</v>
      </c>
      <c r="I6" s="2" t="str">
        <f t="shared" si="2"/>
        <v>W</v>
      </c>
      <c r="J6" s="2" t="str">
        <f t="shared" si="2"/>
        <v>T</v>
      </c>
      <c r="K6" s="2" t="str">
        <f t="shared" si="2"/>
        <v>F</v>
      </c>
      <c r="L6" s="2" t="str">
        <f t="shared" si="2"/>
        <v>S</v>
      </c>
      <c r="M6" s="2" t="str">
        <f t="shared" si="2"/>
        <v>S</v>
      </c>
      <c r="N6" s="2" t="str">
        <f>LEFT(TEXT(N5,"ddd"), 1)</f>
        <v>M</v>
      </c>
      <c r="O6" s="2" t="str">
        <f>LEFT(TEXT(O5,"ddd"), 1)</f>
        <v>T</v>
      </c>
      <c r="P6" s="2" t="str">
        <f t="shared" ref="P6:T6" si="3">LEFT(TEXT(P5,"ddd"), 1)</f>
        <v>W</v>
      </c>
      <c r="Q6" s="2" t="str">
        <f t="shared" si="3"/>
        <v>T</v>
      </c>
      <c r="R6" s="2" t="str">
        <f t="shared" si="3"/>
        <v>F</v>
      </c>
      <c r="S6" s="2" t="str">
        <f t="shared" si="3"/>
        <v>S</v>
      </c>
      <c r="T6" s="2" t="str">
        <f t="shared" si="3"/>
        <v>S</v>
      </c>
      <c r="U6" s="2" t="str">
        <f>LEFT(TEXT(U5,"ddd"), 1)</f>
        <v>M</v>
      </c>
      <c r="V6" s="2" t="str">
        <f t="shared" ref="V6:AA6" si="4">LEFT(TEXT(V5,"ddd"), 1)</f>
        <v>T</v>
      </c>
      <c r="W6" s="2" t="str">
        <f t="shared" si="4"/>
        <v>W</v>
      </c>
      <c r="X6" s="2" t="str">
        <f t="shared" si="4"/>
        <v>T</v>
      </c>
      <c r="Y6" s="2" t="str">
        <f t="shared" si="4"/>
        <v>F</v>
      </c>
      <c r="Z6" s="2" t="str">
        <f t="shared" si="4"/>
        <v>S</v>
      </c>
      <c r="AA6" s="2" t="str">
        <f t="shared" si="4"/>
        <v>S</v>
      </c>
      <c r="AB6" s="2" t="str">
        <f>LEFT(TEXT(AB5,"ddd"), 1)</f>
        <v>M</v>
      </c>
      <c r="AC6" s="2" t="str">
        <f t="shared" ref="AC6:AH6" si="5">LEFT(TEXT(AC5,"ddd"), 1)</f>
        <v>T</v>
      </c>
      <c r="AD6" s="2" t="str">
        <f t="shared" si="5"/>
        <v>W</v>
      </c>
      <c r="AE6" s="2" t="str">
        <f t="shared" si="5"/>
        <v>T</v>
      </c>
      <c r="AF6" s="2" t="str">
        <f t="shared" si="5"/>
        <v>F</v>
      </c>
      <c r="AG6" s="2" t="str">
        <f t="shared" si="5"/>
        <v>S</v>
      </c>
      <c r="AH6" s="2" t="str">
        <f t="shared" si="5"/>
        <v>S</v>
      </c>
      <c r="AI6" s="2" t="str">
        <f>LEFT(TEXT(AI5,"ddd"), 1)</f>
        <v>M</v>
      </c>
      <c r="AJ6" s="2" t="str">
        <f t="shared" ref="AJ6:AO6" si="6">LEFT(TEXT(AJ5,"ddd"), 1)</f>
        <v>T</v>
      </c>
      <c r="AK6" s="2" t="str">
        <f t="shared" si="6"/>
        <v>W</v>
      </c>
      <c r="AL6" s="2" t="str">
        <f t="shared" si="6"/>
        <v>T</v>
      </c>
      <c r="AM6" s="2" t="str">
        <f t="shared" si="6"/>
        <v>F</v>
      </c>
      <c r="AN6" s="2" t="str">
        <f t="shared" si="6"/>
        <v>S</v>
      </c>
      <c r="AO6" s="2" t="str">
        <f t="shared" si="6"/>
        <v>S</v>
      </c>
      <c r="AP6" s="2" t="str">
        <f>LEFT(TEXT(AP5,"ddd"), 1)</f>
        <v>M</v>
      </c>
      <c r="AQ6" s="2" t="str">
        <f t="shared" ref="AQ6:AV6" si="7">LEFT(TEXT(AQ5,"ddd"), 1)</f>
        <v>T</v>
      </c>
      <c r="AR6" s="2" t="str">
        <f t="shared" si="7"/>
        <v>W</v>
      </c>
      <c r="AS6" s="2" t="str">
        <f t="shared" si="7"/>
        <v>T</v>
      </c>
      <c r="AT6" s="2" t="str">
        <f t="shared" si="7"/>
        <v>F</v>
      </c>
      <c r="AU6" s="2" t="str">
        <f t="shared" si="7"/>
        <v>S</v>
      </c>
      <c r="AV6" s="2" t="str">
        <f t="shared" si="7"/>
        <v>S</v>
      </c>
      <c r="AW6" s="2" t="str">
        <f>LEFT(TEXT(AW5,"ddd"), 1)</f>
        <v>M</v>
      </c>
      <c r="AX6" s="2" t="str">
        <f t="shared" ref="AX6:BC6" si="8">LEFT(TEXT(AX5,"ddd"), 1)</f>
        <v>T</v>
      </c>
      <c r="AY6" s="2" t="str">
        <f t="shared" si="8"/>
        <v>W</v>
      </c>
      <c r="AZ6" s="2" t="str">
        <f t="shared" si="8"/>
        <v>T</v>
      </c>
      <c r="BA6" s="2" t="str">
        <f t="shared" si="8"/>
        <v>F</v>
      </c>
      <c r="BB6" s="2" t="str">
        <f t="shared" si="8"/>
        <v>S</v>
      </c>
      <c r="BC6" s="2" t="str">
        <f t="shared" si="8"/>
        <v>S</v>
      </c>
      <c r="BD6" s="2" t="str">
        <f>LEFT(TEXT(BD5,"ddd"), 1)</f>
        <v>M</v>
      </c>
      <c r="BE6" s="2" t="str">
        <f t="shared" ref="BE6:BJ6" si="9">LEFT(TEXT(BE5,"ddd"), 1)</f>
        <v>T</v>
      </c>
      <c r="BF6" s="2" t="str">
        <f t="shared" si="9"/>
        <v>W</v>
      </c>
      <c r="BG6" s="2" t="str">
        <f t="shared" si="9"/>
        <v>T</v>
      </c>
      <c r="BH6" s="2" t="str">
        <f t="shared" si="9"/>
        <v>F</v>
      </c>
      <c r="BI6" s="2" t="str">
        <f t="shared" si="9"/>
        <v>S</v>
      </c>
      <c r="BJ6" s="2" t="str">
        <f t="shared" si="9"/>
        <v>S</v>
      </c>
      <c r="BK6" s="2" t="str">
        <f>LEFT(TEXT(BK5,"ddd"), 1)</f>
        <v>M</v>
      </c>
      <c r="BL6" s="2" t="str">
        <f t="shared" ref="BL6:BQ6" si="10">LEFT(TEXT(BL5,"ddd"), 1)</f>
        <v>T</v>
      </c>
      <c r="BM6" s="2" t="str">
        <f t="shared" si="10"/>
        <v>W</v>
      </c>
      <c r="BN6" s="2" t="str">
        <f t="shared" si="10"/>
        <v>T</v>
      </c>
      <c r="BO6" s="2" t="str">
        <f t="shared" si="10"/>
        <v>F</v>
      </c>
      <c r="BP6" s="2" t="str">
        <f t="shared" si="10"/>
        <v>S</v>
      </c>
      <c r="BQ6" s="2" t="str">
        <f t="shared" si="10"/>
        <v>S</v>
      </c>
      <c r="BR6" s="2" t="str">
        <f>LEFT(TEXT(BR5,"ddd"), 1)</f>
        <v>M</v>
      </c>
      <c r="BS6" s="2" t="str">
        <f t="shared" ref="BS6:BX6" si="11">LEFT(TEXT(BS5,"ddd"), 1)</f>
        <v>T</v>
      </c>
      <c r="BT6" s="2" t="str">
        <f t="shared" si="11"/>
        <v>W</v>
      </c>
      <c r="BU6" s="2" t="str">
        <f t="shared" si="11"/>
        <v>T</v>
      </c>
      <c r="BV6" s="2" t="str">
        <f t="shared" si="11"/>
        <v>F</v>
      </c>
      <c r="BW6" s="2" t="str">
        <f t="shared" si="11"/>
        <v>S</v>
      </c>
      <c r="BX6" s="2" t="str">
        <f t="shared" si="11"/>
        <v>S</v>
      </c>
      <c r="BY6" s="2" t="str">
        <f>LEFT(TEXT(BY5,"ddd"), 1)</f>
        <v>M</v>
      </c>
      <c r="BZ6" s="2" t="str">
        <f t="shared" ref="BZ6:CE6" si="12">LEFT(TEXT(BZ5,"ddd"), 1)</f>
        <v>T</v>
      </c>
      <c r="CA6" s="2" t="str">
        <f t="shared" si="12"/>
        <v>W</v>
      </c>
      <c r="CB6" s="2" t="str">
        <f t="shared" si="12"/>
        <v>T</v>
      </c>
      <c r="CC6" s="2" t="str">
        <f t="shared" si="12"/>
        <v>F</v>
      </c>
      <c r="CD6" s="2" t="str">
        <f t="shared" si="12"/>
        <v>S</v>
      </c>
      <c r="CE6" s="2" t="str">
        <f t="shared" si="12"/>
        <v>S</v>
      </c>
      <c r="CF6" s="2" t="str">
        <f>LEFT(TEXT(CF5,"ddd"), 1)</f>
        <v>M</v>
      </c>
      <c r="CG6" s="2" t="str">
        <f t="shared" ref="CG6:CL6" si="13">LEFT(TEXT(CG5,"ddd"), 1)</f>
        <v>T</v>
      </c>
      <c r="CH6" s="2" t="str">
        <f t="shared" si="13"/>
        <v>W</v>
      </c>
      <c r="CI6" s="2" t="str">
        <f t="shared" si="13"/>
        <v>T</v>
      </c>
      <c r="CJ6" s="2" t="str">
        <f t="shared" si="13"/>
        <v>F</v>
      </c>
      <c r="CK6" s="2" t="str">
        <f t="shared" si="13"/>
        <v>S</v>
      </c>
      <c r="CL6" s="2" t="str">
        <f t="shared" si="13"/>
        <v>S</v>
      </c>
      <c r="CM6" s="2" t="str">
        <f>LEFT(TEXT(CM5,"ddd"), 1)</f>
        <v>M</v>
      </c>
      <c r="CN6" s="2" t="str">
        <f t="shared" ref="CN6:CS6" si="14">LEFT(TEXT(CN5,"ddd"), 1)</f>
        <v>T</v>
      </c>
      <c r="CO6" s="2" t="str">
        <f t="shared" si="14"/>
        <v>W</v>
      </c>
      <c r="CP6" s="2" t="str">
        <f t="shared" si="14"/>
        <v>T</v>
      </c>
      <c r="CQ6" s="2" t="str">
        <f t="shared" si="14"/>
        <v>F</v>
      </c>
      <c r="CR6" s="2" t="str">
        <f t="shared" si="14"/>
        <v>S</v>
      </c>
      <c r="CS6" s="2" t="str">
        <f t="shared" si="14"/>
        <v>S</v>
      </c>
      <c r="CT6" s="2" t="str">
        <f>LEFT(TEXT(CT5,"ddd"), 1)</f>
        <v>M</v>
      </c>
      <c r="CU6" s="2" t="str">
        <f t="shared" ref="CU6:CZ6" si="15">LEFT(TEXT(CU5,"ddd"), 1)</f>
        <v>T</v>
      </c>
      <c r="CV6" s="2" t="str">
        <f t="shared" si="15"/>
        <v>W</v>
      </c>
      <c r="CW6" s="2" t="str">
        <f t="shared" si="15"/>
        <v>T</v>
      </c>
      <c r="CX6" s="2" t="str">
        <f t="shared" si="15"/>
        <v>F</v>
      </c>
      <c r="CY6" s="2" t="str">
        <f t="shared" si="15"/>
        <v>S</v>
      </c>
      <c r="CZ6" s="2" t="str">
        <f t="shared" si="15"/>
        <v>S</v>
      </c>
      <c r="DA6" s="2" t="str">
        <f>LEFT(TEXT(DA5,"ddd"), 1)</f>
        <v>M</v>
      </c>
      <c r="DB6" s="2" t="str">
        <f t="shared" ref="DB6:DG6" si="16">LEFT(TEXT(DB5,"ddd"), 1)</f>
        <v>T</v>
      </c>
      <c r="DC6" s="2" t="str">
        <f t="shared" si="16"/>
        <v>W</v>
      </c>
      <c r="DD6" s="2" t="str">
        <f t="shared" si="16"/>
        <v>T</v>
      </c>
      <c r="DE6" s="2" t="str">
        <f t="shared" si="16"/>
        <v>F</v>
      </c>
      <c r="DF6" s="2" t="str">
        <f t="shared" si="16"/>
        <v>S</v>
      </c>
      <c r="DG6" s="2" t="str">
        <f t="shared" si="16"/>
        <v>S</v>
      </c>
      <c r="DH6" s="2" t="str">
        <f>LEFT(TEXT(DH5,"ddd"), 1)</f>
        <v>M</v>
      </c>
      <c r="DI6" s="2" t="str">
        <f t="shared" ref="DI6:DN6" si="17">LEFT(TEXT(DI5,"ddd"), 1)</f>
        <v>T</v>
      </c>
      <c r="DJ6" s="2" t="str">
        <f t="shared" si="17"/>
        <v>W</v>
      </c>
      <c r="DK6" s="2" t="str">
        <f t="shared" si="17"/>
        <v>T</v>
      </c>
      <c r="DL6" s="2" t="str">
        <f t="shared" si="17"/>
        <v>F</v>
      </c>
      <c r="DM6" s="2" t="str">
        <f t="shared" si="17"/>
        <v>S</v>
      </c>
      <c r="DN6" s="2" t="str">
        <f t="shared" si="17"/>
        <v>S</v>
      </c>
    </row>
    <row r="7" spans="1:118" x14ac:dyDescent="0.2">
      <c r="A7" s="15" t="s">
        <v>8</v>
      </c>
      <c r="B7" s="15"/>
      <c r="C7" s="3"/>
      <c r="D7" s="8"/>
      <c r="E7" s="8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x14ac:dyDescent="0.2">
      <c r="A8" s="4" t="s">
        <v>14</v>
      </c>
      <c r="B8" s="4" t="s">
        <v>13</v>
      </c>
      <c r="C8" s="13">
        <v>1</v>
      </c>
      <c r="D8" s="14">
        <v>44984</v>
      </c>
      <c r="E8" s="18">
        <v>45055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x14ac:dyDescent="0.2">
      <c r="A9" s="4" t="s">
        <v>11</v>
      </c>
      <c r="B9" s="4" t="s">
        <v>15</v>
      </c>
      <c r="C9" s="13">
        <v>1</v>
      </c>
      <c r="D9" s="14">
        <v>44984</v>
      </c>
      <c r="E9" s="18">
        <v>44988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x14ac:dyDescent="0.2">
      <c r="A10" s="4" t="s">
        <v>16</v>
      </c>
      <c r="B10" s="4" t="s">
        <v>13</v>
      </c>
      <c r="C10" s="13">
        <v>1</v>
      </c>
      <c r="D10" s="14">
        <v>44984</v>
      </c>
      <c r="E10" s="18">
        <v>45005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x14ac:dyDescent="0.2">
      <c r="A11" s="4" t="s">
        <v>17</v>
      </c>
      <c r="B11" s="4" t="s">
        <v>13</v>
      </c>
      <c r="C11" s="13">
        <v>0.1</v>
      </c>
      <c r="D11" s="14">
        <v>44984</v>
      </c>
      <c r="E11" s="18">
        <v>45009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x14ac:dyDescent="0.2">
      <c r="A12" s="4" t="s">
        <v>21</v>
      </c>
      <c r="B12" s="4" t="s">
        <v>18</v>
      </c>
      <c r="C12" s="13">
        <v>1</v>
      </c>
      <c r="D12" s="14">
        <v>44984</v>
      </c>
      <c r="E12" s="18">
        <v>44995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x14ac:dyDescent="0.2">
      <c r="A13" s="4" t="s">
        <v>22</v>
      </c>
      <c r="B13" s="4" t="s">
        <v>18</v>
      </c>
      <c r="C13" s="13">
        <v>1</v>
      </c>
      <c r="D13" s="14">
        <v>44984</v>
      </c>
      <c r="E13" s="18">
        <v>44995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x14ac:dyDescent="0.2">
      <c r="A14" s="4" t="s">
        <v>33</v>
      </c>
      <c r="B14" s="4" t="s">
        <v>18</v>
      </c>
      <c r="C14" s="13">
        <v>0.7</v>
      </c>
      <c r="D14" s="14">
        <v>44984</v>
      </c>
      <c r="E14" s="18">
        <v>45016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x14ac:dyDescent="0.2">
      <c r="A15" s="4" t="s">
        <v>34</v>
      </c>
      <c r="B15" s="4" t="s">
        <v>18</v>
      </c>
      <c r="C15" s="13">
        <v>0.7</v>
      </c>
      <c r="D15" s="14">
        <v>44984</v>
      </c>
      <c r="E15" s="18">
        <v>45016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x14ac:dyDescent="0.2">
      <c r="A16" s="4" t="s">
        <v>35</v>
      </c>
      <c r="B16" s="4" t="s">
        <v>18</v>
      </c>
      <c r="C16" s="13">
        <v>0.7</v>
      </c>
      <c r="D16" s="14">
        <v>44984</v>
      </c>
      <c r="E16" s="18">
        <v>45016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x14ac:dyDescent="0.2">
      <c r="A17" s="4" t="s">
        <v>19</v>
      </c>
      <c r="B17" s="4" t="s">
        <v>29</v>
      </c>
      <c r="C17" s="13">
        <v>1</v>
      </c>
      <c r="D17" s="14">
        <v>44984</v>
      </c>
      <c r="E17" s="18">
        <v>45016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x14ac:dyDescent="0.2">
      <c r="A18" s="4" t="s">
        <v>20</v>
      </c>
      <c r="B18" s="4" t="s">
        <v>29</v>
      </c>
      <c r="C18" s="13">
        <v>1</v>
      </c>
      <c r="D18" s="14">
        <v>44984</v>
      </c>
      <c r="E18" s="18">
        <v>45016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x14ac:dyDescent="0.2">
      <c r="A19" s="4" t="s">
        <v>36</v>
      </c>
      <c r="B19" s="4" t="s">
        <v>18</v>
      </c>
      <c r="C19" s="13">
        <v>1</v>
      </c>
      <c r="D19" s="14">
        <v>44984</v>
      </c>
      <c r="E19" s="18">
        <v>45016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x14ac:dyDescent="0.2">
      <c r="A20" s="4" t="s">
        <v>37</v>
      </c>
      <c r="B20" s="4" t="s">
        <v>18</v>
      </c>
      <c r="C20" s="13">
        <v>1</v>
      </c>
      <c r="D20" s="14">
        <v>44984</v>
      </c>
      <c r="E20" s="18">
        <v>45016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x14ac:dyDescent="0.2">
      <c r="A21" s="4" t="s">
        <v>38</v>
      </c>
      <c r="B21" s="4" t="s">
        <v>18</v>
      </c>
      <c r="C21" s="13">
        <v>1</v>
      </c>
      <c r="D21" s="14">
        <v>44984</v>
      </c>
      <c r="E21" s="18">
        <v>45016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x14ac:dyDescent="0.2">
      <c r="A22" s="4" t="s">
        <v>23</v>
      </c>
      <c r="B22" s="4" t="s">
        <v>13</v>
      </c>
      <c r="C22" s="13">
        <v>1</v>
      </c>
      <c r="D22" s="14">
        <v>44991</v>
      </c>
      <c r="E22" s="18">
        <v>45009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x14ac:dyDescent="0.2">
      <c r="A23" s="4" t="s">
        <v>26</v>
      </c>
      <c r="B23" s="4" t="s">
        <v>18</v>
      </c>
      <c r="C23" s="13">
        <v>0</v>
      </c>
      <c r="D23" s="14">
        <v>45005</v>
      </c>
      <c r="E23" s="18">
        <v>45016</v>
      </c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x14ac:dyDescent="0.2">
      <c r="A24" s="4" t="s">
        <v>27</v>
      </c>
      <c r="B24" s="4" t="s">
        <v>18</v>
      </c>
      <c r="C24" s="13">
        <v>0</v>
      </c>
      <c r="D24" s="14">
        <v>45005</v>
      </c>
      <c r="E24" s="18">
        <v>45046</v>
      </c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x14ac:dyDescent="0.2">
      <c r="A25" s="4" t="s">
        <v>28</v>
      </c>
      <c r="B25" s="4" t="s">
        <v>18</v>
      </c>
      <c r="C25" s="13">
        <v>0</v>
      </c>
      <c r="D25" s="14">
        <v>45012</v>
      </c>
      <c r="E25" s="18">
        <v>45046</v>
      </c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  <row r="26" spans="1:118" x14ac:dyDescent="0.2">
      <c r="A26" s="4" t="s">
        <v>41</v>
      </c>
      <c r="B26" s="4" t="s">
        <v>18</v>
      </c>
      <c r="C26" s="13">
        <v>0</v>
      </c>
      <c r="D26" s="14">
        <v>45012</v>
      </c>
      <c r="E26" s="18">
        <v>45046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</row>
    <row r="27" spans="1:118" x14ac:dyDescent="0.2">
      <c r="A27" s="4" t="s">
        <v>30</v>
      </c>
      <c r="B27" s="4" t="s">
        <v>29</v>
      </c>
      <c r="C27" s="13">
        <v>0</v>
      </c>
      <c r="D27" s="14">
        <v>45046</v>
      </c>
      <c r="E27" s="18">
        <v>45046</v>
      </c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</row>
    <row r="28" spans="1:118" x14ac:dyDescent="0.2">
      <c r="A28" s="4" t="s">
        <v>31</v>
      </c>
      <c r="B28" s="4" t="s">
        <v>32</v>
      </c>
      <c r="C28" s="13">
        <v>0</v>
      </c>
      <c r="D28" s="14">
        <v>45046</v>
      </c>
      <c r="E28" s="18">
        <v>45056</v>
      </c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</row>
  </sheetData>
  <mergeCells count="16">
    <mergeCell ref="AP4:AV4"/>
    <mergeCell ref="G4:M4"/>
    <mergeCell ref="N4:T4"/>
    <mergeCell ref="U4:AA4"/>
    <mergeCell ref="AB4:AH4"/>
    <mergeCell ref="AI4:AO4"/>
    <mergeCell ref="CM4:CS4"/>
    <mergeCell ref="CT4:CZ4"/>
    <mergeCell ref="DA4:DG4"/>
    <mergeCell ref="DH4:DN4"/>
    <mergeCell ref="AW4:BC4"/>
    <mergeCell ref="BD4:BJ4"/>
    <mergeCell ref="BK4:BQ4"/>
    <mergeCell ref="BR4:BX4"/>
    <mergeCell ref="BY4:CE4"/>
    <mergeCell ref="CF4:CL4"/>
  </mergeCells>
  <conditionalFormatting sqref="O24:O25 O28 O11 P7:DN28 G7:N28 O19:O22">
    <cfRule type="expression" dxfId="11" priority="9">
      <formula>AND(G$5&gt;=$D7, G$5&lt;=$E7)</formula>
    </cfRule>
  </conditionalFormatting>
  <conditionalFormatting sqref="G5:DN28">
    <cfRule type="expression" dxfId="10" priority="8">
      <formula>G$5=TODAY()</formula>
    </cfRule>
  </conditionalFormatting>
  <conditionalFormatting sqref="C26:C28 C7:C22">
    <cfRule type="dataBar" priority="7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{0008D485-E959-AC49-BD49-44F8CC340280}</x14:id>
        </ext>
      </extLst>
    </cfRule>
  </conditionalFormatting>
  <conditionalFormatting sqref="G7:DN28">
    <cfRule type="expression" dxfId="9" priority="6">
      <formula>1*AND(G$5&gt;=task_start,G$5&lt;=task_start+(task_progress*(task_end-task_start+1))-1)</formula>
    </cfRule>
  </conditionalFormatting>
  <conditionalFormatting sqref="C23:C25">
    <cfRule type="dataBar" priority="5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{D1F10C59-3B1D-D741-9FD9-51F7FEE5C90F}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croll Bar 1">
              <controlPr defaultSize="0" autoPict="0">
                <anchor moveWithCells="1">
                  <from>
                    <xdr:col>6</xdr:col>
                    <xdr:colOff>0</xdr:colOff>
                    <xdr:row>1</xdr:row>
                    <xdr:rowOff>177800</xdr:rowOff>
                  </from>
                  <to>
                    <xdr:col>23</xdr:col>
                    <xdr:colOff>127000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8D485-E959-AC49-BD49-44F8CC34028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C26:C28 C7:C22</xm:sqref>
        </x14:conditionalFormatting>
        <x14:conditionalFormatting xmlns:xm="http://schemas.microsoft.com/office/excel/2006/main">
          <x14:cfRule type="dataBar" id="{D1F10C59-3B1D-D741-9FD9-51F7FEE5C90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C23:C25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48C3-BA07-1441-BAAA-5F442288812B}">
  <dimension ref="A1:DN25"/>
  <sheetViews>
    <sheetView showGridLines="0" zoomScale="113" zoomScaleNormal="60" workbookViewId="0">
      <selection activeCell="C9" sqref="C9"/>
    </sheetView>
  </sheetViews>
  <sheetFormatPr baseColWidth="10" defaultColWidth="8.83203125" defaultRowHeight="15" x14ac:dyDescent="0.2"/>
  <cols>
    <col min="1" max="1" width="29.33203125" bestFit="1" customWidth="1"/>
    <col min="2" max="2" width="15.5" customWidth="1"/>
    <col min="3" max="3" width="14.5" customWidth="1"/>
    <col min="4" max="4" width="26.5" customWidth="1"/>
    <col min="5" max="5" width="12.83203125" customWidth="1"/>
    <col min="7" max="11" width="2.5" bestFit="1" customWidth="1"/>
    <col min="12" max="13" width="2.5" customWidth="1"/>
    <col min="14" max="86" width="2.5" bestFit="1" customWidth="1"/>
    <col min="87" max="90" width="1.6640625" bestFit="1" customWidth="1"/>
    <col min="91" max="103" width="2.5" bestFit="1" customWidth="1"/>
    <col min="104" max="104" width="2.5" customWidth="1"/>
    <col min="105" max="116" width="2.5" bestFit="1" customWidth="1"/>
    <col min="117" max="118" width="1.6640625" bestFit="1" customWidth="1"/>
  </cols>
  <sheetData>
    <row r="1" spans="1:118" ht="21" x14ac:dyDescent="0.25">
      <c r="A1" s="16" t="s">
        <v>6</v>
      </c>
      <c r="B1" s="16"/>
    </row>
    <row r="3" spans="1:118" x14ac:dyDescent="0.2">
      <c r="C3" s="10" t="s">
        <v>3</v>
      </c>
      <c r="D3" s="9">
        <v>44984</v>
      </c>
    </row>
    <row r="4" spans="1:118" x14ac:dyDescent="0.2">
      <c r="C4" s="10" t="s">
        <v>4</v>
      </c>
      <c r="D4" s="11">
        <v>1</v>
      </c>
      <c r="G4" s="19">
        <f>G5</f>
        <v>44984</v>
      </c>
      <c r="H4" s="20"/>
      <c r="I4" s="20"/>
      <c r="J4" s="20"/>
      <c r="K4" s="20"/>
      <c r="L4" s="20"/>
      <c r="M4" s="21"/>
      <c r="N4" s="19">
        <f>N5</f>
        <v>44991</v>
      </c>
      <c r="O4" s="20"/>
      <c r="P4" s="20"/>
      <c r="Q4" s="20"/>
      <c r="R4" s="20"/>
      <c r="S4" s="20"/>
      <c r="T4" s="21"/>
      <c r="U4" s="19">
        <f>U5</f>
        <v>44998</v>
      </c>
      <c r="V4" s="20"/>
      <c r="W4" s="20"/>
      <c r="X4" s="20"/>
      <c r="Y4" s="20"/>
      <c r="Z4" s="20"/>
      <c r="AA4" s="21"/>
      <c r="AB4" s="19">
        <f>AB5</f>
        <v>45005</v>
      </c>
      <c r="AC4" s="20"/>
      <c r="AD4" s="20"/>
      <c r="AE4" s="20"/>
      <c r="AF4" s="20"/>
      <c r="AG4" s="20"/>
      <c r="AH4" s="21"/>
      <c r="AI4" s="19">
        <f>AI5</f>
        <v>45012</v>
      </c>
      <c r="AJ4" s="20"/>
      <c r="AK4" s="20"/>
      <c r="AL4" s="20"/>
      <c r="AM4" s="20"/>
      <c r="AN4" s="20"/>
      <c r="AO4" s="21"/>
      <c r="AP4" s="19">
        <f>AP5</f>
        <v>45019</v>
      </c>
      <c r="AQ4" s="20"/>
      <c r="AR4" s="20"/>
      <c r="AS4" s="20"/>
      <c r="AT4" s="20"/>
      <c r="AU4" s="20"/>
      <c r="AV4" s="21"/>
      <c r="AW4" s="19">
        <f>AW5</f>
        <v>45026</v>
      </c>
      <c r="AX4" s="20"/>
      <c r="AY4" s="20"/>
      <c r="AZ4" s="20"/>
      <c r="BA4" s="20"/>
      <c r="BB4" s="20"/>
      <c r="BC4" s="21"/>
      <c r="BD4" s="19">
        <f>BD5</f>
        <v>45033</v>
      </c>
      <c r="BE4" s="20"/>
      <c r="BF4" s="20"/>
      <c r="BG4" s="20"/>
      <c r="BH4" s="20"/>
      <c r="BI4" s="20"/>
      <c r="BJ4" s="21"/>
      <c r="BK4" s="19">
        <f>BK5</f>
        <v>45040</v>
      </c>
      <c r="BL4" s="20"/>
      <c r="BM4" s="20"/>
      <c r="BN4" s="20"/>
      <c r="BO4" s="20"/>
      <c r="BP4" s="20"/>
      <c r="BQ4" s="21"/>
      <c r="BR4" s="19">
        <f>BR5</f>
        <v>45047</v>
      </c>
      <c r="BS4" s="20"/>
      <c r="BT4" s="20"/>
      <c r="BU4" s="20"/>
      <c r="BV4" s="20"/>
      <c r="BW4" s="20"/>
      <c r="BX4" s="21"/>
      <c r="BY4" s="19">
        <f>BY5</f>
        <v>45054</v>
      </c>
      <c r="BZ4" s="20"/>
      <c r="CA4" s="20"/>
      <c r="CB4" s="20"/>
      <c r="CC4" s="20"/>
      <c r="CD4" s="20"/>
      <c r="CE4" s="21"/>
      <c r="CF4" s="19">
        <f>CF5</f>
        <v>45061</v>
      </c>
      <c r="CG4" s="20"/>
      <c r="CH4" s="20"/>
      <c r="CI4" s="20"/>
      <c r="CJ4" s="20"/>
      <c r="CK4" s="20"/>
      <c r="CL4" s="21"/>
      <c r="CM4" s="19">
        <f>CM5</f>
        <v>45068</v>
      </c>
      <c r="CN4" s="20"/>
      <c r="CO4" s="20"/>
      <c r="CP4" s="20"/>
      <c r="CQ4" s="20"/>
      <c r="CR4" s="20"/>
      <c r="CS4" s="21"/>
      <c r="CT4" s="19">
        <f>CT5</f>
        <v>45075</v>
      </c>
      <c r="CU4" s="20"/>
      <c r="CV4" s="20"/>
      <c r="CW4" s="20"/>
      <c r="CX4" s="20"/>
      <c r="CY4" s="20"/>
      <c r="CZ4" s="21"/>
      <c r="DA4" s="19">
        <f>DA5</f>
        <v>45082</v>
      </c>
      <c r="DB4" s="20"/>
      <c r="DC4" s="20"/>
      <c r="DD4" s="20"/>
      <c r="DE4" s="20"/>
      <c r="DF4" s="20"/>
      <c r="DG4" s="21"/>
      <c r="DH4" s="19">
        <f>DH5</f>
        <v>45089</v>
      </c>
      <c r="DI4" s="20"/>
      <c r="DJ4" s="20"/>
      <c r="DK4" s="20"/>
      <c r="DL4" s="20"/>
      <c r="DM4" s="20"/>
      <c r="DN4" s="21"/>
    </row>
    <row r="5" spans="1:118" x14ac:dyDescent="0.2">
      <c r="G5" s="5">
        <f>D3-WEEKDAY(project_start,3)+(display_week-1)*7</f>
        <v>44984</v>
      </c>
      <c r="H5" s="6">
        <f>G5+1</f>
        <v>44985</v>
      </c>
      <c r="I5" s="6">
        <f t="shared" ref="I5:BT5" si="0">H5+1</f>
        <v>44986</v>
      </c>
      <c r="J5" s="6">
        <f t="shared" si="0"/>
        <v>44987</v>
      </c>
      <c r="K5" s="6">
        <f t="shared" si="0"/>
        <v>44988</v>
      </c>
      <c r="L5" s="6">
        <f t="shared" si="0"/>
        <v>44989</v>
      </c>
      <c r="M5" s="7">
        <f t="shared" si="0"/>
        <v>44990</v>
      </c>
      <c r="N5" s="5">
        <f t="shared" si="0"/>
        <v>44991</v>
      </c>
      <c r="O5" s="6">
        <f t="shared" si="0"/>
        <v>44992</v>
      </c>
      <c r="P5" s="6">
        <f t="shared" si="0"/>
        <v>44993</v>
      </c>
      <c r="Q5" s="6">
        <f t="shared" si="0"/>
        <v>44994</v>
      </c>
      <c r="R5" s="6">
        <f t="shared" si="0"/>
        <v>44995</v>
      </c>
      <c r="S5" s="6">
        <f t="shared" si="0"/>
        <v>44996</v>
      </c>
      <c r="T5" s="7">
        <f t="shared" si="0"/>
        <v>44997</v>
      </c>
      <c r="U5" s="5">
        <f t="shared" si="0"/>
        <v>44998</v>
      </c>
      <c r="V5" s="6">
        <f t="shared" si="0"/>
        <v>44999</v>
      </c>
      <c r="W5" s="6">
        <f t="shared" si="0"/>
        <v>45000</v>
      </c>
      <c r="X5" s="6">
        <f t="shared" si="0"/>
        <v>45001</v>
      </c>
      <c r="Y5" s="6">
        <f t="shared" si="0"/>
        <v>45002</v>
      </c>
      <c r="Z5" s="6">
        <f t="shared" si="0"/>
        <v>45003</v>
      </c>
      <c r="AA5" s="7">
        <f t="shared" si="0"/>
        <v>45004</v>
      </c>
      <c r="AB5" s="5">
        <f t="shared" si="0"/>
        <v>45005</v>
      </c>
      <c r="AC5" s="6">
        <f t="shared" si="0"/>
        <v>45006</v>
      </c>
      <c r="AD5" s="6">
        <f t="shared" si="0"/>
        <v>45007</v>
      </c>
      <c r="AE5" s="6">
        <f t="shared" si="0"/>
        <v>45008</v>
      </c>
      <c r="AF5" s="6">
        <f t="shared" si="0"/>
        <v>45009</v>
      </c>
      <c r="AG5" s="6">
        <f t="shared" si="0"/>
        <v>45010</v>
      </c>
      <c r="AH5" s="7">
        <f t="shared" si="0"/>
        <v>45011</v>
      </c>
      <c r="AI5" s="5">
        <f t="shared" si="0"/>
        <v>45012</v>
      </c>
      <c r="AJ5" s="6">
        <f t="shared" si="0"/>
        <v>45013</v>
      </c>
      <c r="AK5" s="6">
        <f t="shared" si="0"/>
        <v>45014</v>
      </c>
      <c r="AL5" s="6">
        <f t="shared" si="0"/>
        <v>45015</v>
      </c>
      <c r="AM5" s="6">
        <f t="shared" si="0"/>
        <v>45016</v>
      </c>
      <c r="AN5" s="6">
        <f t="shared" si="0"/>
        <v>45017</v>
      </c>
      <c r="AO5" s="7">
        <f t="shared" si="0"/>
        <v>45018</v>
      </c>
      <c r="AP5" s="5">
        <f t="shared" si="0"/>
        <v>45019</v>
      </c>
      <c r="AQ5" s="6">
        <f t="shared" si="0"/>
        <v>45020</v>
      </c>
      <c r="AR5" s="6">
        <f t="shared" si="0"/>
        <v>45021</v>
      </c>
      <c r="AS5" s="6">
        <f t="shared" si="0"/>
        <v>45022</v>
      </c>
      <c r="AT5" s="6">
        <f t="shared" si="0"/>
        <v>45023</v>
      </c>
      <c r="AU5" s="6">
        <f t="shared" si="0"/>
        <v>45024</v>
      </c>
      <c r="AV5" s="7">
        <f t="shared" si="0"/>
        <v>45025</v>
      </c>
      <c r="AW5" s="5">
        <f t="shared" si="0"/>
        <v>45026</v>
      </c>
      <c r="AX5" s="6">
        <f t="shared" si="0"/>
        <v>45027</v>
      </c>
      <c r="AY5" s="6">
        <f t="shared" si="0"/>
        <v>45028</v>
      </c>
      <c r="AZ5" s="6">
        <f t="shared" si="0"/>
        <v>45029</v>
      </c>
      <c r="BA5" s="6">
        <f t="shared" si="0"/>
        <v>45030</v>
      </c>
      <c r="BB5" s="6">
        <f t="shared" si="0"/>
        <v>45031</v>
      </c>
      <c r="BC5" s="7">
        <f t="shared" si="0"/>
        <v>45032</v>
      </c>
      <c r="BD5" s="5">
        <f t="shared" si="0"/>
        <v>45033</v>
      </c>
      <c r="BE5" s="6">
        <f t="shared" si="0"/>
        <v>45034</v>
      </c>
      <c r="BF5" s="6">
        <f t="shared" si="0"/>
        <v>45035</v>
      </c>
      <c r="BG5" s="6">
        <f t="shared" si="0"/>
        <v>45036</v>
      </c>
      <c r="BH5" s="6">
        <f t="shared" si="0"/>
        <v>45037</v>
      </c>
      <c r="BI5" s="6">
        <f t="shared" si="0"/>
        <v>45038</v>
      </c>
      <c r="BJ5" s="7">
        <f t="shared" si="0"/>
        <v>45039</v>
      </c>
      <c r="BK5" s="5">
        <f t="shared" si="0"/>
        <v>45040</v>
      </c>
      <c r="BL5" s="6">
        <f t="shared" si="0"/>
        <v>45041</v>
      </c>
      <c r="BM5" s="6">
        <f t="shared" si="0"/>
        <v>45042</v>
      </c>
      <c r="BN5" s="6">
        <f t="shared" si="0"/>
        <v>45043</v>
      </c>
      <c r="BO5" s="6">
        <f t="shared" si="0"/>
        <v>45044</v>
      </c>
      <c r="BP5" s="6">
        <f t="shared" si="0"/>
        <v>45045</v>
      </c>
      <c r="BQ5" s="7">
        <f t="shared" si="0"/>
        <v>45046</v>
      </c>
      <c r="BR5" s="5">
        <f t="shared" si="0"/>
        <v>45047</v>
      </c>
      <c r="BS5" s="6">
        <f t="shared" si="0"/>
        <v>45048</v>
      </c>
      <c r="BT5" s="6">
        <f t="shared" si="0"/>
        <v>45049</v>
      </c>
      <c r="BU5" s="6">
        <f t="shared" ref="BU5:DN5" si="1">BT5+1</f>
        <v>45050</v>
      </c>
      <c r="BV5" s="6">
        <f t="shared" si="1"/>
        <v>45051</v>
      </c>
      <c r="BW5" s="6">
        <f t="shared" si="1"/>
        <v>45052</v>
      </c>
      <c r="BX5" s="7">
        <f t="shared" si="1"/>
        <v>45053</v>
      </c>
      <c r="BY5" s="5">
        <f t="shared" si="1"/>
        <v>45054</v>
      </c>
      <c r="BZ5" s="6">
        <f t="shared" si="1"/>
        <v>45055</v>
      </c>
      <c r="CA5" s="6">
        <f t="shared" si="1"/>
        <v>45056</v>
      </c>
      <c r="CB5" s="6">
        <f t="shared" si="1"/>
        <v>45057</v>
      </c>
      <c r="CC5" s="6">
        <f t="shared" si="1"/>
        <v>45058</v>
      </c>
      <c r="CD5" s="6">
        <f t="shared" si="1"/>
        <v>45059</v>
      </c>
      <c r="CE5" s="7">
        <f t="shared" si="1"/>
        <v>45060</v>
      </c>
      <c r="CF5" s="5">
        <f t="shared" si="1"/>
        <v>45061</v>
      </c>
      <c r="CG5" s="6">
        <f t="shared" si="1"/>
        <v>45062</v>
      </c>
      <c r="CH5" s="6">
        <f t="shared" si="1"/>
        <v>45063</v>
      </c>
      <c r="CI5" s="6">
        <f t="shared" si="1"/>
        <v>45064</v>
      </c>
      <c r="CJ5" s="6">
        <f t="shared" si="1"/>
        <v>45065</v>
      </c>
      <c r="CK5" s="6">
        <f t="shared" si="1"/>
        <v>45066</v>
      </c>
      <c r="CL5" s="7">
        <f t="shared" si="1"/>
        <v>45067</v>
      </c>
      <c r="CM5" s="5">
        <f t="shared" si="1"/>
        <v>45068</v>
      </c>
      <c r="CN5" s="6">
        <f t="shared" si="1"/>
        <v>45069</v>
      </c>
      <c r="CO5" s="6">
        <f t="shared" si="1"/>
        <v>45070</v>
      </c>
      <c r="CP5" s="6">
        <f t="shared" si="1"/>
        <v>45071</v>
      </c>
      <c r="CQ5" s="6">
        <f t="shared" si="1"/>
        <v>45072</v>
      </c>
      <c r="CR5" s="6">
        <f t="shared" si="1"/>
        <v>45073</v>
      </c>
      <c r="CS5" s="7">
        <f t="shared" si="1"/>
        <v>45074</v>
      </c>
      <c r="CT5" s="5">
        <f t="shared" si="1"/>
        <v>45075</v>
      </c>
      <c r="CU5" s="6">
        <f t="shared" si="1"/>
        <v>45076</v>
      </c>
      <c r="CV5" s="6">
        <f t="shared" si="1"/>
        <v>45077</v>
      </c>
      <c r="CW5" s="6">
        <f t="shared" si="1"/>
        <v>45078</v>
      </c>
      <c r="CX5" s="6">
        <f t="shared" si="1"/>
        <v>45079</v>
      </c>
      <c r="CY5" s="6">
        <f t="shared" si="1"/>
        <v>45080</v>
      </c>
      <c r="CZ5" s="7">
        <f t="shared" si="1"/>
        <v>45081</v>
      </c>
      <c r="DA5" s="5">
        <f t="shared" si="1"/>
        <v>45082</v>
      </c>
      <c r="DB5" s="6">
        <f t="shared" si="1"/>
        <v>45083</v>
      </c>
      <c r="DC5" s="6">
        <f t="shared" si="1"/>
        <v>45084</v>
      </c>
      <c r="DD5" s="6">
        <f t="shared" si="1"/>
        <v>45085</v>
      </c>
      <c r="DE5" s="6">
        <f t="shared" si="1"/>
        <v>45086</v>
      </c>
      <c r="DF5" s="6">
        <f t="shared" si="1"/>
        <v>45087</v>
      </c>
      <c r="DG5" s="7">
        <f t="shared" si="1"/>
        <v>45088</v>
      </c>
      <c r="DH5" s="5">
        <f t="shared" si="1"/>
        <v>45089</v>
      </c>
      <c r="DI5" s="6">
        <f t="shared" si="1"/>
        <v>45090</v>
      </c>
      <c r="DJ5" s="6">
        <f t="shared" si="1"/>
        <v>45091</v>
      </c>
      <c r="DK5" s="6">
        <f t="shared" si="1"/>
        <v>45092</v>
      </c>
      <c r="DL5" s="6">
        <f t="shared" si="1"/>
        <v>45093</v>
      </c>
      <c r="DM5" s="6">
        <f t="shared" si="1"/>
        <v>45094</v>
      </c>
      <c r="DN5" s="7">
        <f t="shared" si="1"/>
        <v>45095</v>
      </c>
    </row>
    <row r="6" spans="1:118" x14ac:dyDescent="0.2">
      <c r="A6" s="12" t="s">
        <v>0</v>
      </c>
      <c r="B6" s="17" t="s">
        <v>12</v>
      </c>
      <c r="C6" s="12" t="s">
        <v>5</v>
      </c>
      <c r="D6" s="12" t="s">
        <v>1</v>
      </c>
      <c r="E6" s="12" t="s">
        <v>2</v>
      </c>
      <c r="F6" s="1"/>
      <c r="G6" s="2" t="str">
        <f>LEFT(TEXT(G5,"ddd"), 1)</f>
        <v>M</v>
      </c>
      <c r="H6" s="2" t="str">
        <f t="shared" ref="H6:M6" si="2">LEFT(TEXT(H5,"ddd"), 1)</f>
        <v>T</v>
      </c>
      <c r="I6" s="2" t="str">
        <f t="shared" si="2"/>
        <v>W</v>
      </c>
      <c r="J6" s="2" t="str">
        <f t="shared" si="2"/>
        <v>T</v>
      </c>
      <c r="K6" s="2" t="str">
        <f t="shared" si="2"/>
        <v>F</v>
      </c>
      <c r="L6" s="2" t="str">
        <f t="shared" si="2"/>
        <v>S</v>
      </c>
      <c r="M6" s="2" t="str">
        <f t="shared" si="2"/>
        <v>S</v>
      </c>
      <c r="N6" s="2" t="str">
        <f>LEFT(TEXT(N5,"ddd"), 1)</f>
        <v>M</v>
      </c>
      <c r="O6" s="2" t="str">
        <f>LEFT(TEXT(O5,"ddd"), 1)</f>
        <v>T</v>
      </c>
      <c r="P6" s="2" t="str">
        <f t="shared" ref="P6:T6" si="3">LEFT(TEXT(P5,"ddd"), 1)</f>
        <v>W</v>
      </c>
      <c r="Q6" s="2" t="str">
        <f t="shared" si="3"/>
        <v>T</v>
      </c>
      <c r="R6" s="2" t="str">
        <f t="shared" si="3"/>
        <v>F</v>
      </c>
      <c r="S6" s="2" t="str">
        <f t="shared" si="3"/>
        <v>S</v>
      </c>
      <c r="T6" s="2" t="str">
        <f t="shared" si="3"/>
        <v>S</v>
      </c>
      <c r="U6" s="2" t="str">
        <f>LEFT(TEXT(U5,"ddd"), 1)</f>
        <v>M</v>
      </c>
      <c r="V6" s="2" t="str">
        <f t="shared" ref="V6:AA6" si="4">LEFT(TEXT(V5,"ddd"), 1)</f>
        <v>T</v>
      </c>
      <c r="W6" s="2" t="str">
        <f t="shared" si="4"/>
        <v>W</v>
      </c>
      <c r="X6" s="2" t="str">
        <f t="shared" si="4"/>
        <v>T</v>
      </c>
      <c r="Y6" s="2" t="str">
        <f t="shared" si="4"/>
        <v>F</v>
      </c>
      <c r="Z6" s="2" t="str">
        <f t="shared" si="4"/>
        <v>S</v>
      </c>
      <c r="AA6" s="2" t="str">
        <f t="shared" si="4"/>
        <v>S</v>
      </c>
      <c r="AB6" s="2" t="str">
        <f>LEFT(TEXT(AB5,"ddd"), 1)</f>
        <v>M</v>
      </c>
      <c r="AC6" s="2" t="str">
        <f t="shared" ref="AC6:AH6" si="5">LEFT(TEXT(AC5,"ddd"), 1)</f>
        <v>T</v>
      </c>
      <c r="AD6" s="2" t="str">
        <f t="shared" si="5"/>
        <v>W</v>
      </c>
      <c r="AE6" s="2" t="str">
        <f t="shared" si="5"/>
        <v>T</v>
      </c>
      <c r="AF6" s="2" t="str">
        <f t="shared" si="5"/>
        <v>F</v>
      </c>
      <c r="AG6" s="2" t="str">
        <f t="shared" si="5"/>
        <v>S</v>
      </c>
      <c r="AH6" s="2" t="str">
        <f t="shared" si="5"/>
        <v>S</v>
      </c>
      <c r="AI6" s="2" t="str">
        <f>LEFT(TEXT(AI5,"ddd"), 1)</f>
        <v>M</v>
      </c>
      <c r="AJ6" s="2" t="str">
        <f t="shared" ref="AJ6:AO6" si="6">LEFT(TEXT(AJ5,"ddd"), 1)</f>
        <v>T</v>
      </c>
      <c r="AK6" s="2" t="str">
        <f t="shared" si="6"/>
        <v>W</v>
      </c>
      <c r="AL6" s="2" t="str">
        <f t="shared" si="6"/>
        <v>T</v>
      </c>
      <c r="AM6" s="2" t="str">
        <f t="shared" si="6"/>
        <v>F</v>
      </c>
      <c r="AN6" s="2" t="str">
        <f t="shared" si="6"/>
        <v>S</v>
      </c>
      <c r="AO6" s="2" t="str">
        <f t="shared" si="6"/>
        <v>S</v>
      </c>
      <c r="AP6" s="2" t="str">
        <f>LEFT(TEXT(AP5,"ddd"), 1)</f>
        <v>M</v>
      </c>
      <c r="AQ6" s="2" t="str">
        <f t="shared" ref="AQ6:AV6" si="7">LEFT(TEXT(AQ5,"ddd"), 1)</f>
        <v>T</v>
      </c>
      <c r="AR6" s="2" t="str">
        <f t="shared" si="7"/>
        <v>W</v>
      </c>
      <c r="AS6" s="2" t="str">
        <f t="shared" si="7"/>
        <v>T</v>
      </c>
      <c r="AT6" s="2" t="str">
        <f t="shared" si="7"/>
        <v>F</v>
      </c>
      <c r="AU6" s="2" t="str">
        <f t="shared" si="7"/>
        <v>S</v>
      </c>
      <c r="AV6" s="2" t="str">
        <f t="shared" si="7"/>
        <v>S</v>
      </c>
      <c r="AW6" s="2" t="str">
        <f>LEFT(TEXT(AW5,"ddd"), 1)</f>
        <v>M</v>
      </c>
      <c r="AX6" s="2" t="str">
        <f t="shared" ref="AX6:BC6" si="8">LEFT(TEXT(AX5,"ddd"), 1)</f>
        <v>T</v>
      </c>
      <c r="AY6" s="2" t="str">
        <f t="shared" si="8"/>
        <v>W</v>
      </c>
      <c r="AZ6" s="2" t="str">
        <f t="shared" si="8"/>
        <v>T</v>
      </c>
      <c r="BA6" s="2" t="str">
        <f t="shared" si="8"/>
        <v>F</v>
      </c>
      <c r="BB6" s="2" t="str">
        <f t="shared" si="8"/>
        <v>S</v>
      </c>
      <c r="BC6" s="2" t="str">
        <f t="shared" si="8"/>
        <v>S</v>
      </c>
      <c r="BD6" s="2" t="str">
        <f>LEFT(TEXT(BD5,"ddd"), 1)</f>
        <v>M</v>
      </c>
      <c r="BE6" s="2" t="str">
        <f t="shared" ref="BE6:BJ6" si="9">LEFT(TEXT(BE5,"ddd"), 1)</f>
        <v>T</v>
      </c>
      <c r="BF6" s="2" t="str">
        <f t="shared" si="9"/>
        <v>W</v>
      </c>
      <c r="BG6" s="2" t="str">
        <f t="shared" si="9"/>
        <v>T</v>
      </c>
      <c r="BH6" s="2" t="str">
        <f t="shared" si="9"/>
        <v>F</v>
      </c>
      <c r="BI6" s="2" t="str">
        <f t="shared" si="9"/>
        <v>S</v>
      </c>
      <c r="BJ6" s="2" t="str">
        <f t="shared" si="9"/>
        <v>S</v>
      </c>
      <c r="BK6" s="2" t="str">
        <f>LEFT(TEXT(BK5,"ddd"), 1)</f>
        <v>M</v>
      </c>
      <c r="BL6" s="2" t="str">
        <f t="shared" ref="BL6:BQ6" si="10">LEFT(TEXT(BL5,"ddd"), 1)</f>
        <v>T</v>
      </c>
      <c r="BM6" s="2" t="str">
        <f t="shared" si="10"/>
        <v>W</v>
      </c>
      <c r="BN6" s="2" t="str">
        <f t="shared" si="10"/>
        <v>T</v>
      </c>
      <c r="BO6" s="2" t="str">
        <f t="shared" si="10"/>
        <v>F</v>
      </c>
      <c r="BP6" s="2" t="str">
        <f t="shared" si="10"/>
        <v>S</v>
      </c>
      <c r="BQ6" s="2" t="str">
        <f t="shared" si="10"/>
        <v>S</v>
      </c>
      <c r="BR6" s="2" t="str">
        <f>LEFT(TEXT(BR5,"ddd"), 1)</f>
        <v>M</v>
      </c>
      <c r="BS6" s="2" t="str">
        <f t="shared" ref="BS6:BX6" si="11">LEFT(TEXT(BS5,"ddd"), 1)</f>
        <v>T</v>
      </c>
      <c r="BT6" s="2" t="str">
        <f t="shared" si="11"/>
        <v>W</v>
      </c>
      <c r="BU6" s="2" t="str">
        <f t="shared" si="11"/>
        <v>T</v>
      </c>
      <c r="BV6" s="2" t="str">
        <f t="shared" si="11"/>
        <v>F</v>
      </c>
      <c r="BW6" s="2" t="str">
        <f t="shared" si="11"/>
        <v>S</v>
      </c>
      <c r="BX6" s="2" t="str">
        <f t="shared" si="11"/>
        <v>S</v>
      </c>
      <c r="BY6" s="2" t="str">
        <f>LEFT(TEXT(BY5,"ddd"), 1)</f>
        <v>M</v>
      </c>
      <c r="BZ6" s="2" t="str">
        <f t="shared" ref="BZ6:CE6" si="12">LEFT(TEXT(BZ5,"ddd"), 1)</f>
        <v>T</v>
      </c>
      <c r="CA6" s="2" t="str">
        <f t="shared" si="12"/>
        <v>W</v>
      </c>
      <c r="CB6" s="2" t="str">
        <f t="shared" si="12"/>
        <v>T</v>
      </c>
      <c r="CC6" s="2" t="str">
        <f t="shared" si="12"/>
        <v>F</v>
      </c>
      <c r="CD6" s="2" t="str">
        <f t="shared" si="12"/>
        <v>S</v>
      </c>
      <c r="CE6" s="2" t="str">
        <f t="shared" si="12"/>
        <v>S</v>
      </c>
      <c r="CF6" s="2" t="str">
        <f>LEFT(TEXT(CF5,"ddd"), 1)</f>
        <v>M</v>
      </c>
      <c r="CG6" s="2" t="str">
        <f t="shared" ref="CG6:CL6" si="13">LEFT(TEXT(CG5,"ddd"), 1)</f>
        <v>T</v>
      </c>
      <c r="CH6" s="2" t="str">
        <f t="shared" si="13"/>
        <v>W</v>
      </c>
      <c r="CI6" s="2" t="str">
        <f t="shared" si="13"/>
        <v>T</v>
      </c>
      <c r="CJ6" s="2" t="str">
        <f t="shared" si="13"/>
        <v>F</v>
      </c>
      <c r="CK6" s="2" t="str">
        <f t="shared" si="13"/>
        <v>S</v>
      </c>
      <c r="CL6" s="2" t="str">
        <f t="shared" si="13"/>
        <v>S</v>
      </c>
      <c r="CM6" s="2" t="str">
        <f>LEFT(TEXT(CM5,"ddd"), 1)</f>
        <v>M</v>
      </c>
      <c r="CN6" s="2" t="str">
        <f t="shared" ref="CN6:CS6" si="14">LEFT(TEXT(CN5,"ddd"), 1)</f>
        <v>T</v>
      </c>
      <c r="CO6" s="2" t="str">
        <f t="shared" si="14"/>
        <v>W</v>
      </c>
      <c r="CP6" s="2" t="str">
        <f t="shared" si="14"/>
        <v>T</v>
      </c>
      <c r="CQ6" s="2" t="str">
        <f t="shared" si="14"/>
        <v>F</v>
      </c>
      <c r="CR6" s="2" t="str">
        <f t="shared" si="14"/>
        <v>S</v>
      </c>
      <c r="CS6" s="2" t="str">
        <f t="shared" si="14"/>
        <v>S</v>
      </c>
      <c r="CT6" s="2" t="str">
        <f>LEFT(TEXT(CT5,"ddd"), 1)</f>
        <v>M</v>
      </c>
      <c r="CU6" s="2" t="str">
        <f t="shared" ref="CU6:CZ6" si="15">LEFT(TEXT(CU5,"ddd"), 1)</f>
        <v>T</v>
      </c>
      <c r="CV6" s="2" t="str">
        <f t="shared" si="15"/>
        <v>W</v>
      </c>
      <c r="CW6" s="2" t="str">
        <f t="shared" si="15"/>
        <v>T</v>
      </c>
      <c r="CX6" s="2" t="str">
        <f t="shared" si="15"/>
        <v>F</v>
      </c>
      <c r="CY6" s="2" t="str">
        <f t="shared" si="15"/>
        <v>S</v>
      </c>
      <c r="CZ6" s="2" t="str">
        <f t="shared" si="15"/>
        <v>S</v>
      </c>
      <c r="DA6" s="2" t="str">
        <f>LEFT(TEXT(DA5,"ddd"), 1)</f>
        <v>M</v>
      </c>
      <c r="DB6" s="2" t="str">
        <f t="shared" ref="DB6:DG6" si="16">LEFT(TEXT(DB5,"ddd"), 1)</f>
        <v>T</v>
      </c>
      <c r="DC6" s="2" t="str">
        <f t="shared" si="16"/>
        <v>W</v>
      </c>
      <c r="DD6" s="2" t="str">
        <f t="shared" si="16"/>
        <v>T</v>
      </c>
      <c r="DE6" s="2" t="str">
        <f t="shared" si="16"/>
        <v>F</v>
      </c>
      <c r="DF6" s="2" t="str">
        <f t="shared" si="16"/>
        <v>S</v>
      </c>
      <c r="DG6" s="2" t="str">
        <f t="shared" si="16"/>
        <v>S</v>
      </c>
      <c r="DH6" s="2" t="str">
        <f>LEFT(TEXT(DH5,"ddd"), 1)</f>
        <v>M</v>
      </c>
      <c r="DI6" s="2" t="str">
        <f t="shared" ref="DI6:DN6" si="17">LEFT(TEXT(DI5,"ddd"), 1)</f>
        <v>T</v>
      </c>
      <c r="DJ6" s="2" t="str">
        <f t="shared" si="17"/>
        <v>W</v>
      </c>
      <c r="DK6" s="2" t="str">
        <f t="shared" si="17"/>
        <v>T</v>
      </c>
      <c r="DL6" s="2" t="str">
        <f t="shared" si="17"/>
        <v>F</v>
      </c>
      <c r="DM6" s="2" t="str">
        <f t="shared" si="17"/>
        <v>S</v>
      </c>
      <c r="DN6" s="2" t="str">
        <f t="shared" si="17"/>
        <v>S</v>
      </c>
    </row>
    <row r="7" spans="1:118" x14ac:dyDescent="0.2">
      <c r="A7" s="15" t="s">
        <v>9</v>
      </c>
      <c r="B7" s="15"/>
      <c r="C7" s="13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x14ac:dyDescent="0.2">
      <c r="A8" s="4" t="s">
        <v>14</v>
      </c>
      <c r="B8" s="4" t="s">
        <v>13</v>
      </c>
      <c r="C8" s="13">
        <v>0.5</v>
      </c>
      <c r="D8" s="14">
        <v>44984</v>
      </c>
      <c r="E8" s="18">
        <v>45002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x14ac:dyDescent="0.2">
      <c r="A9" s="4" t="s">
        <v>11</v>
      </c>
      <c r="B9" s="4" t="s">
        <v>15</v>
      </c>
      <c r="C9" s="13">
        <v>1</v>
      </c>
      <c r="D9" s="14">
        <v>44984</v>
      </c>
      <c r="E9" s="18">
        <v>44988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x14ac:dyDescent="0.2">
      <c r="A10" s="4" t="s">
        <v>16</v>
      </c>
      <c r="B10" s="4" t="s">
        <v>13</v>
      </c>
      <c r="C10" s="13">
        <v>1</v>
      </c>
      <c r="D10" s="14">
        <v>44984</v>
      </c>
      <c r="E10" s="18">
        <v>45005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x14ac:dyDescent="0.2">
      <c r="A11" s="4" t="s">
        <v>17</v>
      </c>
      <c r="B11" s="4" t="s">
        <v>13</v>
      </c>
      <c r="C11" s="13">
        <v>0.1</v>
      </c>
      <c r="D11" s="14">
        <v>44984</v>
      </c>
      <c r="E11" s="18">
        <v>45009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x14ac:dyDescent="0.2">
      <c r="A12" s="4" t="s">
        <v>21</v>
      </c>
      <c r="B12" s="4" t="s">
        <v>18</v>
      </c>
      <c r="C12" s="13">
        <v>1</v>
      </c>
      <c r="D12" s="14">
        <v>44984</v>
      </c>
      <c r="E12" s="18">
        <v>44995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x14ac:dyDescent="0.2">
      <c r="A13" s="4" t="s">
        <v>22</v>
      </c>
      <c r="B13" s="4" t="s">
        <v>18</v>
      </c>
      <c r="C13" s="13">
        <v>1</v>
      </c>
      <c r="D13" s="14">
        <v>44984</v>
      </c>
      <c r="E13" s="18">
        <v>45016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x14ac:dyDescent="0.2">
      <c r="A14" s="4" t="s">
        <v>33</v>
      </c>
      <c r="B14" s="4" t="s">
        <v>18</v>
      </c>
      <c r="C14" s="13">
        <v>0.7</v>
      </c>
      <c r="D14" s="14">
        <v>44984</v>
      </c>
      <c r="E14" s="18">
        <v>45016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x14ac:dyDescent="0.2">
      <c r="A15" s="4" t="s">
        <v>34</v>
      </c>
      <c r="B15" s="4" t="s">
        <v>18</v>
      </c>
      <c r="C15" s="13">
        <v>0.7</v>
      </c>
      <c r="D15" s="14">
        <v>44984</v>
      </c>
      <c r="E15" s="18">
        <v>45016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x14ac:dyDescent="0.2">
      <c r="A16" s="4" t="s">
        <v>35</v>
      </c>
      <c r="B16" s="4" t="s">
        <v>18</v>
      </c>
      <c r="C16" s="13">
        <v>0.7</v>
      </c>
      <c r="D16" s="14">
        <v>44984</v>
      </c>
      <c r="E16" s="18">
        <v>45016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x14ac:dyDescent="0.2">
      <c r="A17" s="4" t="s">
        <v>19</v>
      </c>
      <c r="B17" s="4" t="s">
        <v>29</v>
      </c>
      <c r="C17" s="13">
        <v>1</v>
      </c>
      <c r="D17" s="14">
        <v>44984</v>
      </c>
      <c r="E17" s="18">
        <v>45016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x14ac:dyDescent="0.2">
      <c r="A18" s="4" t="s">
        <v>20</v>
      </c>
      <c r="B18" s="4" t="s">
        <v>29</v>
      </c>
      <c r="C18" s="13">
        <v>1</v>
      </c>
      <c r="D18" s="14">
        <v>44984</v>
      </c>
      <c r="E18" s="18">
        <v>45016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x14ac:dyDescent="0.2">
      <c r="A19" s="4" t="s">
        <v>36</v>
      </c>
      <c r="B19" s="4" t="s">
        <v>18</v>
      </c>
      <c r="C19" s="13">
        <v>0</v>
      </c>
      <c r="D19" s="14">
        <v>44984</v>
      </c>
      <c r="E19" s="18">
        <v>45077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x14ac:dyDescent="0.2">
      <c r="A20" s="4" t="s">
        <v>37</v>
      </c>
      <c r="B20" s="4" t="s">
        <v>18</v>
      </c>
      <c r="C20" s="13">
        <v>0</v>
      </c>
      <c r="D20" s="14">
        <v>44984</v>
      </c>
      <c r="E20" s="18">
        <v>45077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x14ac:dyDescent="0.2">
      <c r="A21" s="4" t="s">
        <v>38</v>
      </c>
      <c r="B21" s="4" t="s">
        <v>18</v>
      </c>
      <c r="C21" s="13">
        <v>0</v>
      </c>
      <c r="D21" s="14">
        <v>44984</v>
      </c>
      <c r="E21" s="18">
        <v>45077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x14ac:dyDescent="0.2">
      <c r="A22" s="4" t="s">
        <v>23</v>
      </c>
      <c r="B22" s="4" t="s">
        <v>13</v>
      </c>
      <c r="C22" s="13">
        <v>0</v>
      </c>
      <c r="D22" s="14">
        <v>44991</v>
      </c>
      <c r="E22" s="18">
        <v>45077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x14ac:dyDescent="0.2">
      <c r="A23" s="4" t="s">
        <v>30</v>
      </c>
      <c r="B23" s="4" t="s">
        <v>29</v>
      </c>
      <c r="C23" s="13">
        <v>0</v>
      </c>
      <c r="D23" s="14"/>
      <c r="E23" s="18"/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x14ac:dyDescent="0.2">
      <c r="A24" s="4" t="s">
        <v>31</v>
      </c>
      <c r="B24" s="4" t="s">
        <v>32</v>
      </c>
      <c r="C24" s="13">
        <v>0</v>
      </c>
      <c r="D24" s="14"/>
      <c r="E24" s="18"/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x14ac:dyDescent="0.2">
      <c r="A25" s="4" t="s">
        <v>39</v>
      </c>
      <c r="B25" s="4" t="s">
        <v>13</v>
      </c>
      <c r="C25" s="13">
        <v>0</v>
      </c>
      <c r="D25" s="14"/>
      <c r="E25" s="14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</sheetData>
  <mergeCells count="16">
    <mergeCell ref="AP4:AV4"/>
    <mergeCell ref="G4:M4"/>
    <mergeCell ref="N4:T4"/>
    <mergeCell ref="U4:AA4"/>
    <mergeCell ref="AB4:AH4"/>
    <mergeCell ref="AI4:AO4"/>
    <mergeCell ref="CM4:CS4"/>
    <mergeCell ref="CT4:CZ4"/>
    <mergeCell ref="DA4:DG4"/>
    <mergeCell ref="DH4:DN4"/>
    <mergeCell ref="AW4:BC4"/>
    <mergeCell ref="BD4:BJ4"/>
    <mergeCell ref="BK4:BQ4"/>
    <mergeCell ref="BR4:BX4"/>
    <mergeCell ref="BY4:CE4"/>
    <mergeCell ref="CF4:CL4"/>
  </mergeCells>
  <conditionalFormatting sqref="O15:O16 O11 O24 P7:DN24 G7:N24 O19:O22">
    <cfRule type="expression" dxfId="8" priority="9">
      <formula>AND(G$5&gt;=$D7, G$5&lt;=$E7)</formula>
    </cfRule>
  </conditionalFormatting>
  <conditionalFormatting sqref="G5:DN25">
    <cfRule type="expression" dxfId="7" priority="8">
      <formula>G$5=TODAY()</formula>
    </cfRule>
  </conditionalFormatting>
  <conditionalFormatting sqref="C7:C25">
    <cfRule type="dataBar" priority="7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{A45C618F-E49A-1D40-935B-9D12B16317DE}</x14:id>
        </ext>
      </extLst>
    </cfRule>
  </conditionalFormatting>
  <conditionalFormatting sqref="G7:DN25">
    <cfRule type="expression" dxfId="6" priority="6">
      <formula>1*AND(G$5&gt;=task_start,G$5&lt;=task_start+(task_progress*(task_end-task_start+1))-1)</formula>
    </cfRule>
  </conditionalFormatting>
  <conditionalFormatting sqref="G25:DN25">
    <cfRule type="expression" dxfId="5" priority="64">
      <formula>AND(G$5&gt;=#REF!, G$5&lt;=#REF!)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croll Bar 1">
              <controlPr defaultSize="0" autoPict="0">
                <anchor moveWithCells="1">
                  <from>
                    <xdr:col>6</xdr:col>
                    <xdr:colOff>0</xdr:colOff>
                    <xdr:row>1</xdr:row>
                    <xdr:rowOff>177800</xdr:rowOff>
                  </from>
                  <to>
                    <xdr:col>23</xdr:col>
                    <xdr:colOff>127000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C618F-E49A-1D40-935B-9D12B16317D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C7:C25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4BD7-F5AB-A247-9D22-513879D8F734}">
  <dimension ref="A1:DN25"/>
  <sheetViews>
    <sheetView showGridLines="0" tabSelected="1" zoomScale="150" zoomScaleNormal="60" workbookViewId="0">
      <selection activeCell="C9" sqref="C9"/>
    </sheetView>
  </sheetViews>
  <sheetFormatPr baseColWidth="10" defaultColWidth="8.83203125" defaultRowHeight="15" x14ac:dyDescent="0.2"/>
  <cols>
    <col min="1" max="1" width="29.33203125" bestFit="1" customWidth="1"/>
    <col min="2" max="2" width="15.5" customWidth="1"/>
    <col min="3" max="3" width="14.5" customWidth="1"/>
    <col min="4" max="4" width="26.5" customWidth="1"/>
    <col min="5" max="5" width="12.83203125" customWidth="1"/>
    <col min="7" max="11" width="2.5" bestFit="1" customWidth="1"/>
    <col min="12" max="13" width="2.5" customWidth="1"/>
    <col min="14" max="86" width="2.5" bestFit="1" customWidth="1"/>
    <col min="87" max="90" width="1.6640625" bestFit="1" customWidth="1"/>
    <col min="91" max="103" width="2.5" bestFit="1" customWidth="1"/>
    <col min="104" max="104" width="2.5" customWidth="1"/>
    <col min="105" max="116" width="2.5" bestFit="1" customWidth="1"/>
    <col min="117" max="118" width="1.6640625" bestFit="1" customWidth="1"/>
  </cols>
  <sheetData>
    <row r="1" spans="1:118" ht="21" x14ac:dyDescent="0.25">
      <c r="A1" s="16" t="s">
        <v>6</v>
      </c>
      <c r="B1" s="16"/>
    </row>
    <row r="3" spans="1:118" x14ac:dyDescent="0.2">
      <c r="C3" s="10" t="s">
        <v>3</v>
      </c>
      <c r="D3" s="9">
        <v>44984</v>
      </c>
    </row>
    <row r="4" spans="1:118" x14ac:dyDescent="0.2">
      <c r="C4" s="10" t="s">
        <v>4</v>
      </c>
      <c r="D4" s="11">
        <v>1</v>
      </c>
      <c r="G4" s="19">
        <f>G5</f>
        <v>44984</v>
      </c>
      <c r="H4" s="20"/>
      <c r="I4" s="20"/>
      <c r="J4" s="20"/>
      <c r="K4" s="20"/>
      <c r="L4" s="20"/>
      <c r="M4" s="21"/>
      <c r="N4" s="19">
        <f>N5</f>
        <v>44991</v>
      </c>
      <c r="O4" s="20"/>
      <c r="P4" s="20"/>
      <c r="Q4" s="20"/>
      <c r="R4" s="20"/>
      <c r="S4" s="20"/>
      <c r="T4" s="21"/>
      <c r="U4" s="19">
        <f>U5</f>
        <v>44998</v>
      </c>
      <c r="V4" s="20"/>
      <c r="W4" s="20"/>
      <c r="X4" s="20"/>
      <c r="Y4" s="20"/>
      <c r="Z4" s="20"/>
      <c r="AA4" s="21"/>
      <c r="AB4" s="19">
        <f>AB5</f>
        <v>45005</v>
      </c>
      <c r="AC4" s="20"/>
      <c r="AD4" s="20"/>
      <c r="AE4" s="20"/>
      <c r="AF4" s="20"/>
      <c r="AG4" s="20"/>
      <c r="AH4" s="21"/>
      <c r="AI4" s="19">
        <f>AI5</f>
        <v>45012</v>
      </c>
      <c r="AJ4" s="20"/>
      <c r="AK4" s="20"/>
      <c r="AL4" s="20"/>
      <c r="AM4" s="20"/>
      <c r="AN4" s="20"/>
      <c r="AO4" s="21"/>
      <c r="AP4" s="19">
        <f>AP5</f>
        <v>45019</v>
      </c>
      <c r="AQ4" s="20"/>
      <c r="AR4" s="20"/>
      <c r="AS4" s="20"/>
      <c r="AT4" s="20"/>
      <c r="AU4" s="20"/>
      <c r="AV4" s="21"/>
      <c r="AW4" s="19">
        <f>AW5</f>
        <v>45026</v>
      </c>
      <c r="AX4" s="20"/>
      <c r="AY4" s="20"/>
      <c r="AZ4" s="20"/>
      <c r="BA4" s="20"/>
      <c r="BB4" s="20"/>
      <c r="BC4" s="21"/>
      <c r="BD4" s="19">
        <f>BD5</f>
        <v>45033</v>
      </c>
      <c r="BE4" s="20"/>
      <c r="BF4" s="20"/>
      <c r="BG4" s="20"/>
      <c r="BH4" s="20"/>
      <c r="BI4" s="20"/>
      <c r="BJ4" s="21"/>
      <c r="BK4" s="19">
        <f>BK5</f>
        <v>45040</v>
      </c>
      <c r="BL4" s="20"/>
      <c r="BM4" s="20"/>
      <c r="BN4" s="20"/>
      <c r="BO4" s="20"/>
      <c r="BP4" s="20"/>
      <c r="BQ4" s="21"/>
      <c r="BR4" s="19">
        <f>BR5</f>
        <v>45047</v>
      </c>
      <c r="BS4" s="20"/>
      <c r="BT4" s="20"/>
      <c r="BU4" s="20"/>
      <c r="BV4" s="20"/>
      <c r="BW4" s="20"/>
      <c r="BX4" s="21"/>
      <c r="BY4" s="19">
        <f>BY5</f>
        <v>45054</v>
      </c>
      <c r="BZ4" s="20"/>
      <c r="CA4" s="20"/>
      <c r="CB4" s="20"/>
      <c r="CC4" s="20"/>
      <c r="CD4" s="20"/>
      <c r="CE4" s="21"/>
      <c r="CF4" s="19">
        <f>CF5</f>
        <v>45061</v>
      </c>
      <c r="CG4" s="20"/>
      <c r="CH4" s="20"/>
      <c r="CI4" s="20"/>
      <c r="CJ4" s="20"/>
      <c r="CK4" s="20"/>
      <c r="CL4" s="21"/>
      <c r="CM4" s="19">
        <f>CM5</f>
        <v>45068</v>
      </c>
      <c r="CN4" s="20"/>
      <c r="CO4" s="20"/>
      <c r="CP4" s="20"/>
      <c r="CQ4" s="20"/>
      <c r="CR4" s="20"/>
      <c r="CS4" s="21"/>
      <c r="CT4" s="19">
        <f>CT5</f>
        <v>45075</v>
      </c>
      <c r="CU4" s="20"/>
      <c r="CV4" s="20"/>
      <c r="CW4" s="20"/>
      <c r="CX4" s="20"/>
      <c r="CY4" s="20"/>
      <c r="CZ4" s="21"/>
      <c r="DA4" s="19">
        <f>DA5</f>
        <v>45082</v>
      </c>
      <c r="DB4" s="20"/>
      <c r="DC4" s="20"/>
      <c r="DD4" s="20"/>
      <c r="DE4" s="20"/>
      <c r="DF4" s="20"/>
      <c r="DG4" s="21"/>
      <c r="DH4" s="19">
        <f>DH5</f>
        <v>45089</v>
      </c>
      <c r="DI4" s="20"/>
      <c r="DJ4" s="20"/>
      <c r="DK4" s="20"/>
      <c r="DL4" s="20"/>
      <c r="DM4" s="20"/>
      <c r="DN4" s="21"/>
    </row>
    <row r="5" spans="1:118" x14ac:dyDescent="0.2">
      <c r="G5" s="5">
        <f>D3-WEEKDAY(project_start,3)+(display_week-1)*7</f>
        <v>44984</v>
      </c>
      <c r="H5" s="6">
        <f>G5+1</f>
        <v>44985</v>
      </c>
      <c r="I5" s="6">
        <f t="shared" ref="I5:BT5" si="0">H5+1</f>
        <v>44986</v>
      </c>
      <c r="J5" s="6">
        <f t="shared" si="0"/>
        <v>44987</v>
      </c>
      <c r="K5" s="6">
        <f t="shared" si="0"/>
        <v>44988</v>
      </c>
      <c r="L5" s="6">
        <f t="shared" si="0"/>
        <v>44989</v>
      </c>
      <c r="M5" s="7">
        <f t="shared" si="0"/>
        <v>44990</v>
      </c>
      <c r="N5" s="5">
        <f t="shared" si="0"/>
        <v>44991</v>
      </c>
      <c r="O5" s="6">
        <f t="shared" si="0"/>
        <v>44992</v>
      </c>
      <c r="P5" s="6">
        <f t="shared" si="0"/>
        <v>44993</v>
      </c>
      <c r="Q5" s="6">
        <f t="shared" si="0"/>
        <v>44994</v>
      </c>
      <c r="R5" s="6">
        <f t="shared" si="0"/>
        <v>44995</v>
      </c>
      <c r="S5" s="6">
        <f t="shared" si="0"/>
        <v>44996</v>
      </c>
      <c r="T5" s="7">
        <f t="shared" si="0"/>
        <v>44997</v>
      </c>
      <c r="U5" s="5">
        <f t="shared" si="0"/>
        <v>44998</v>
      </c>
      <c r="V5" s="6">
        <f t="shared" si="0"/>
        <v>44999</v>
      </c>
      <c r="W5" s="6">
        <f t="shared" si="0"/>
        <v>45000</v>
      </c>
      <c r="X5" s="6">
        <f t="shared" si="0"/>
        <v>45001</v>
      </c>
      <c r="Y5" s="6">
        <f t="shared" si="0"/>
        <v>45002</v>
      </c>
      <c r="Z5" s="6">
        <f t="shared" si="0"/>
        <v>45003</v>
      </c>
      <c r="AA5" s="7">
        <f t="shared" si="0"/>
        <v>45004</v>
      </c>
      <c r="AB5" s="5">
        <f t="shared" si="0"/>
        <v>45005</v>
      </c>
      <c r="AC5" s="6">
        <f t="shared" si="0"/>
        <v>45006</v>
      </c>
      <c r="AD5" s="6">
        <f t="shared" si="0"/>
        <v>45007</v>
      </c>
      <c r="AE5" s="6">
        <f t="shared" si="0"/>
        <v>45008</v>
      </c>
      <c r="AF5" s="6">
        <f t="shared" si="0"/>
        <v>45009</v>
      </c>
      <c r="AG5" s="6">
        <f t="shared" si="0"/>
        <v>45010</v>
      </c>
      <c r="AH5" s="7">
        <f t="shared" si="0"/>
        <v>45011</v>
      </c>
      <c r="AI5" s="5">
        <f t="shared" si="0"/>
        <v>45012</v>
      </c>
      <c r="AJ5" s="6">
        <f t="shared" si="0"/>
        <v>45013</v>
      </c>
      <c r="AK5" s="6">
        <f t="shared" si="0"/>
        <v>45014</v>
      </c>
      <c r="AL5" s="6">
        <f t="shared" si="0"/>
        <v>45015</v>
      </c>
      <c r="AM5" s="6">
        <f t="shared" si="0"/>
        <v>45016</v>
      </c>
      <c r="AN5" s="6">
        <f t="shared" si="0"/>
        <v>45017</v>
      </c>
      <c r="AO5" s="7">
        <f t="shared" si="0"/>
        <v>45018</v>
      </c>
      <c r="AP5" s="5">
        <f t="shared" si="0"/>
        <v>45019</v>
      </c>
      <c r="AQ5" s="6">
        <f t="shared" si="0"/>
        <v>45020</v>
      </c>
      <c r="AR5" s="6">
        <f t="shared" si="0"/>
        <v>45021</v>
      </c>
      <c r="AS5" s="6">
        <f t="shared" si="0"/>
        <v>45022</v>
      </c>
      <c r="AT5" s="6">
        <f t="shared" si="0"/>
        <v>45023</v>
      </c>
      <c r="AU5" s="6">
        <f t="shared" si="0"/>
        <v>45024</v>
      </c>
      <c r="AV5" s="7">
        <f t="shared" si="0"/>
        <v>45025</v>
      </c>
      <c r="AW5" s="5">
        <f t="shared" si="0"/>
        <v>45026</v>
      </c>
      <c r="AX5" s="6">
        <f t="shared" si="0"/>
        <v>45027</v>
      </c>
      <c r="AY5" s="6">
        <f t="shared" si="0"/>
        <v>45028</v>
      </c>
      <c r="AZ5" s="6">
        <f t="shared" si="0"/>
        <v>45029</v>
      </c>
      <c r="BA5" s="6">
        <f t="shared" si="0"/>
        <v>45030</v>
      </c>
      <c r="BB5" s="6">
        <f t="shared" si="0"/>
        <v>45031</v>
      </c>
      <c r="BC5" s="7">
        <f t="shared" si="0"/>
        <v>45032</v>
      </c>
      <c r="BD5" s="5">
        <f t="shared" si="0"/>
        <v>45033</v>
      </c>
      <c r="BE5" s="6">
        <f t="shared" si="0"/>
        <v>45034</v>
      </c>
      <c r="BF5" s="6">
        <f t="shared" si="0"/>
        <v>45035</v>
      </c>
      <c r="BG5" s="6">
        <f t="shared" si="0"/>
        <v>45036</v>
      </c>
      <c r="BH5" s="6">
        <f t="shared" si="0"/>
        <v>45037</v>
      </c>
      <c r="BI5" s="6">
        <f t="shared" si="0"/>
        <v>45038</v>
      </c>
      <c r="BJ5" s="7">
        <f t="shared" si="0"/>
        <v>45039</v>
      </c>
      <c r="BK5" s="5">
        <f t="shared" si="0"/>
        <v>45040</v>
      </c>
      <c r="BL5" s="6">
        <f t="shared" si="0"/>
        <v>45041</v>
      </c>
      <c r="BM5" s="6">
        <f t="shared" si="0"/>
        <v>45042</v>
      </c>
      <c r="BN5" s="6">
        <f t="shared" si="0"/>
        <v>45043</v>
      </c>
      <c r="BO5" s="6">
        <f t="shared" si="0"/>
        <v>45044</v>
      </c>
      <c r="BP5" s="6">
        <f t="shared" si="0"/>
        <v>45045</v>
      </c>
      <c r="BQ5" s="7">
        <f t="shared" si="0"/>
        <v>45046</v>
      </c>
      <c r="BR5" s="5">
        <f t="shared" si="0"/>
        <v>45047</v>
      </c>
      <c r="BS5" s="6">
        <f t="shared" si="0"/>
        <v>45048</v>
      </c>
      <c r="BT5" s="6">
        <f t="shared" si="0"/>
        <v>45049</v>
      </c>
      <c r="BU5" s="6">
        <f t="shared" ref="BU5:DN5" si="1">BT5+1</f>
        <v>45050</v>
      </c>
      <c r="BV5" s="6">
        <f t="shared" si="1"/>
        <v>45051</v>
      </c>
      <c r="BW5" s="6">
        <f t="shared" si="1"/>
        <v>45052</v>
      </c>
      <c r="BX5" s="7">
        <f t="shared" si="1"/>
        <v>45053</v>
      </c>
      <c r="BY5" s="5">
        <f t="shared" si="1"/>
        <v>45054</v>
      </c>
      <c r="BZ5" s="6">
        <f t="shared" si="1"/>
        <v>45055</v>
      </c>
      <c r="CA5" s="6">
        <f t="shared" si="1"/>
        <v>45056</v>
      </c>
      <c r="CB5" s="6">
        <f t="shared" si="1"/>
        <v>45057</v>
      </c>
      <c r="CC5" s="6">
        <f t="shared" si="1"/>
        <v>45058</v>
      </c>
      <c r="CD5" s="6">
        <f t="shared" si="1"/>
        <v>45059</v>
      </c>
      <c r="CE5" s="7">
        <f t="shared" si="1"/>
        <v>45060</v>
      </c>
      <c r="CF5" s="5">
        <f t="shared" si="1"/>
        <v>45061</v>
      </c>
      <c r="CG5" s="6">
        <f t="shared" si="1"/>
        <v>45062</v>
      </c>
      <c r="CH5" s="6">
        <f t="shared" si="1"/>
        <v>45063</v>
      </c>
      <c r="CI5" s="6">
        <f t="shared" si="1"/>
        <v>45064</v>
      </c>
      <c r="CJ5" s="6">
        <f t="shared" si="1"/>
        <v>45065</v>
      </c>
      <c r="CK5" s="6">
        <f t="shared" si="1"/>
        <v>45066</v>
      </c>
      <c r="CL5" s="7">
        <f t="shared" si="1"/>
        <v>45067</v>
      </c>
      <c r="CM5" s="5">
        <f t="shared" si="1"/>
        <v>45068</v>
      </c>
      <c r="CN5" s="6">
        <f t="shared" si="1"/>
        <v>45069</v>
      </c>
      <c r="CO5" s="6">
        <f t="shared" si="1"/>
        <v>45070</v>
      </c>
      <c r="CP5" s="6">
        <f t="shared" si="1"/>
        <v>45071</v>
      </c>
      <c r="CQ5" s="6">
        <f t="shared" si="1"/>
        <v>45072</v>
      </c>
      <c r="CR5" s="6">
        <f t="shared" si="1"/>
        <v>45073</v>
      </c>
      <c r="CS5" s="7">
        <f t="shared" si="1"/>
        <v>45074</v>
      </c>
      <c r="CT5" s="5">
        <f t="shared" si="1"/>
        <v>45075</v>
      </c>
      <c r="CU5" s="6">
        <f t="shared" si="1"/>
        <v>45076</v>
      </c>
      <c r="CV5" s="6">
        <f t="shared" si="1"/>
        <v>45077</v>
      </c>
      <c r="CW5" s="6">
        <f t="shared" si="1"/>
        <v>45078</v>
      </c>
      <c r="CX5" s="6">
        <f t="shared" si="1"/>
        <v>45079</v>
      </c>
      <c r="CY5" s="6">
        <f t="shared" si="1"/>
        <v>45080</v>
      </c>
      <c r="CZ5" s="7">
        <f t="shared" si="1"/>
        <v>45081</v>
      </c>
      <c r="DA5" s="5">
        <f t="shared" si="1"/>
        <v>45082</v>
      </c>
      <c r="DB5" s="6">
        <f t="shared" si="1"/>
        <v>45083</v>
      </c>
      <c r="DC5" s="6">
        <f t="shared" si="1"/>
        <v>45084</v>
      </c>
      <c r="DD5" s="6">
        <f t="shared" si="1"/>
        <v>45085</v>
      </c>
      <c r="DE5" s="6">
        <f t="shared" si="1"/>
        <v>45086</v>
      </c>
      <c r="DF5" s="6">
        <f t="shared" si="1"/>
        <v>45087</v>
      </c>
      <c r="DG5" s="7">
        <f t="shared" si="1"/>
        <v>45088</v>
      </c>
      <c r="DH5" s="5">
        <f t="shared" si="1"/>
        <v>45089</v>
      </c>
      <c r="DI5" s="6">
        <f t="shared" si="1"/>
        <v>45090</v>
      </c>
      <c r="DJ5" s="6">
        <f t="shared" si="1"/>
        <v>45091</v>
      </c>
      <c r="DK5" s="6">
        <f t="shared" si="1"/>
        <v>45092</v>
      </c>
      <c r="DL5" s="6">
        <f t="shared" si="1"/>
        <v>45093</v>
      </c>
      <c r="DM5" s="6">
        <f t="shared" si="1"/>
        <v>45094</v>
      </c>
      <c r="DN5" s="7">
        <f t="shared" si="1"/>
        <v>45095</v>
      </c>
    </row>
    <row r="6" spans="1:118" x14ac:dyDescent="0.2">
      <c r="A6" s="12" t="s">
        <v>0</v>
      </c>
      <c r="B6" s="17" t="s">
        <v>12</v>
      </c>
      <c r="C6" s="12" t="s">
        <v>5</v>
      </c>
      <c r="D6" s="12" t="s">
        <v>1</v>
      </c>
      <c r="E6" s="12" t="s">
        <v>2</v>
      </c>
      <c r="F6" s="1"/>
      <c r="G6" s="2" t="str">
        <f>LEFT(TEXT(G5,"ddd"), 1)</f>
        <v>M</v>
      </c>
      <c r="H6" s="2" t="str">
        <f t="shared" ref="H6:M6" si="2">LEFT(TEXT(H5,"ddd"), 1)</f>
        <v>T</v>
      </c>
      <c r="I6" s="2" t="str">
        <f t="shared" si="2"/>
        <v>W</v>
      </c>
      <c r="J6" s="2" t="str">
        <f t="shared" si="2"/>
        <v>T</v>
      </c>
      <c r="K6" s="2" t="str">
        <f t="shared" si="2"/>
        <v>F</v>
      </c>
      <c r="L6" s="2" t="str">
        <f t="shared" si="2"/>
        <v>S</v>
      </c>
      <c r="M6" s="2" t="str">
        <f t="shared" si="2"/>
        <v>S</v>
      </c>
      <c r="N6" s="2" t="str">
        <f>LEFT(TEXT(N5,"ddd"), 1)</f>
        <v>M</v>
      </c>
      <c r="O6" s="2" t="str">
        <f>LEFT(TEXT(O5,"ddd"), 1)</f>
        <v>T</v>
      </c>
      <c r="P6" s="2" t="str">
        <f t="shared" ref="P6:T6" si="3">LEFT(TEXT(P5,"ddd"), 1)</f>
        <v>W</v>
      </c>
      <c r="Q6" s="2" t="str">
        <f t="shared" si="3"/>
        <v>T</v>
      </c>
      <c r="R6" s="2" t="str">
        <f t="shared" si="3"/>
        <v>F</v>
      </c>
      <c r="S6" s="2" t="str">
        <f t="shared" si="3"/>
        <v>S</v>
      </c>
      <c r="T6" s="2" t="str">
        <f t="shared" si="3"/>
        <v>S</v>
      </c>
      <c r="U6" s="2" t="str">
        <f>LEFT(TEXT(U5,"ddd"), 1)</f>
        <v>M</v>
      </c>
      <c r="V6" s="2" t="str">
        <f t="shared" ref="V6:AA6" si="4">LEFT(TEXT(V5,"ddd"), 1)</f>
        <v>T</v>
      </c>
      <c r="W6" s="2" t="str">
        <f t="shared" si="4"/>
        <v>W</v>
      </c>
      <c r="X6" s="2" t="str">
        <f t="shared" si="4"/>
        <v>T</v>
      </c>
      <c r="Y6" s="2" t="str">
        <f t="shared" si="4"/>
        <v>F</v>
      </c>
      <c r="Z6" s="2" t="str">
        <f t="shared" si="4"/>
        <v>S</v>
      </c>
      <c r="AA6" s="2" t="str">
        <f t="shared" si="4"/>
        <v>S</v>
      </c>
      <c r="AB6" s="2" t="str">
        <f>LEFT(TEXT(AB5,"ddd"), 1)</f>
        <v>M</v>
      </c>
      <c r="AC6" s="2" t="str">
        <f t="shared" ref="AC6:AH6" si="5">LEFT(TEXT(AC5,"ddd"), 1)</f>
        <v>T</v>
      </c>
      <c r="AD6" s="2" t="str">
        <f t="shared" si="5"/>
        <v>W</v>
      </c>
      <c r="AE6" s="2" t="str">
        <f t="shared" si="5"/>
        <v>T</v>
      </c>
      <c r="AF6" s="2" t="str">
        <f t="shared" si="5"/>
        <v>F</v>
      </c>
      <c r="AG6" s="2" t="str">
        <f t="shared" si="5"/>
        <v>S</v>
      </c>
      <c r="AH6" s="2" t="str">
        <f t="shared" si="5"/>
        <v>S</v>
      </c>
      <c r="AI6" s="2" t="str">
        <f>LEFT(TEXT(AI5,"ddd"), 1)</f>
        <v>M</v>
      </c>
      <c r="AJ6" s="2" t="str">
        <f t="shared" ref="AJ6:AO6" si="6">LEFT(TEXT(AJ5,"ddd"), 1)</f>
        <v>T</v>
      </c>
      <c r="AK6" s="2" t="str">
        <f t="shared" si="6"/>
        <v>W</v>
      </c>
      <c r="AL6" s="2" t="str">
        <f t="shared" si="6"/>
        <v>T</v>
      </c>
      <c r="AM6" s="2" t="str">
        <f t="shared" si="6"/>
        <v>F</v>
      </c>
      <c r="AN6" s="2" t="str">
        <f t="shared" si="6"/>
        <v>S</v>
      </c>
      <c r="AO6" s="2" t="str">
        <f t="shared" si="6"/>
        <v>S</v>
      </c>
      <c r="AP6" s="2" t="str">
        <f>LEFT(TEXT(AP5,"ddd"), 1)</f>
        <v>M</v>
      </c>
      <c r="AQ6" s="2" t="str">
        <f t="shared" ref="AQ6:AV6" si="7">LEFT(TEXT(AQ5,"ddd"), 1)</f>
        <v>T</v>
      </c>
      <c r="AR6" s="2" t="str">
        <f t="shared" si="7"/>
        <v>W</v>
      </c>
      <c r="AS6" s="2" t="str">
        <f t="shared" si="7"/>
        <v>T</v>
      </c>
      <c r="AT6" s="2" t="str">
        <f t="shared" si="7"/>
        <v>F</v>
      </c>
      <c r="AU6" s="2" t="str">
        <f t="shared" si="7"/>
        <v>S</v>
      </c>
      <c r="AV6" s="2" t="str">
        <f t="shared" si="7"/>
        <v>S</v>
      </c>
      <c r="AW6" s="2" t="str">
        <f>LEFT(TEXT(AW5,"ddd"), 1)</f>
        <v>M</v>
      </c>
      <c r="AX6" s="2" t="str">
        <f t="shared" ref="AX6:BC6" si="8">LEFT(TEXT(AX5,"ddd"), 1)</f>
        <v>T</v>
      </c>
      <c r="AY6" s="2" t="str">
        <f t="shared" si="8"/>
        <v>W</v>
      </c>
      <c r="AZ6" s="2" t="str">
        <f t="shared" si="8"/>
        <v>T</v>
      </c>
      <c r="BA6" s="2" t="str">
        <f t="shared" si="8"/>
        <v>F</v>
      </c>
      <c r="BB6" s="2" t="str">
        <f t="shared" si="8"/>
        <v>S</v>
      </c>
      <c r="BC6" s="2" t="str">
        <f t="shared" si="8"/>
        <v>S</v>
      </c>
      <c r="BD6" s="2" t="str">
        <f>LEFT(TEXT(BD5,"ddd"), 1)</f>
        <v>M</v>
      </c>
      <c r="BE6" s="2" t="str">
        <f t="shared" ref="BE6:BJ6" si="9">LEFT(TEXT(BE5,"ddd"), 1)</f>
        <v>T</v>
      </c>
      <c r="BF6" s="2" t="str">
        <f t="shared" si="9"/>
        <v>W</v>
      </c>
      <c r="BG6" s="2" t="str">
        <f t="shared" si="9"/>
        <v>T</v>
      </c>
      <c r="BH6" s="2" t="str">
        <f t="shared" si="9"/>
        <v>F</v>
      </c>
      <c r="BI6" s="2" t="str">
        <f t="shared" si="9"/>
        <v>S</v>
      </c>
      <c r="BJ6" s="2" t="str">
        <f t="shared" si="9"/>
        <v>S</v>
      </c>
      <c r="BK6" s="2" t="str">
        <f>LEFT(TEXT(BK5,"ddd"), 1)</f>
        <v>M</v>
      </c>
      <c r="BL6" s="2" t="str">
        <f t="shared" ref="BL6:BQ6" si="10">LEFT(TEXT(BL5,"ddd"), 1)</f>
        <v>T</v>
      </c>
      <c r="BM6" s="2" t="str">
        <f t="shared" si="10"/>
        <v>W</v>
      </c>
      <c r="BN6" s="2" t="str">
        <f t="shared" si="10"/>
        <v>T</v>
      </c>
      <c r="BO6" s="2" t="str">
        <f t="shared" si="10"/>
        <v>F</v>
      </c>
      <c r="BP6" s="2" t="str">
        <f t="shared" si="10"/>
        <v>S</v>
      </c>
      <c r="BQ6" s="2" t="str">
        <f t="shared" si="10"/>
        <v>S</v>
      </c>
      <c r="BR6" s="2" t="str">
        <f>LEFT(TEXT(BR5,"ddd"), 1)</f>
        <v>M</v>
      </c>
      <c r="BS6" s="2" t="str">
        <f t="shared" ref="BS6:BX6" si="11">LEFT(TEXT(BS5,"ddd"), 1)</f>
        <v>T</v>
      </c>
      <c r="BT6" s="2" t="str">
        <f t="shared" si="11"/>
        <v>W</v>
      </c>
      <c r="BU6" s="2" t="str">
        <f t="shared" si="11"/>
        <v>T</v>
      </c>
      <c r="BV6" s="2" t="str">
        <f t="shared" si="11"/>
        <v>F</v>
      </c>
      <c r="BW6" s="2" t="str">
        <f t="shared" si="11"/>
        <v>S</v>
      </c>
      <c r="BX6" s="2" t="str">
        <f t="shared" si="11"/>
        <v>S</v>
      </c>
      <c r="BY6" s="2" t="str">
        <f>LEFT(TEXT(BY5,"ddd"), 1)</f>
        <v>M</v>
      </c>
      <c r="BZ6" s="2" t="str">
        <f t="shared" ref="BZ6:CE6" si="12">LEFT(TEXT(BZ5,"ddd"), 1)</f>
        <v>T</v>
      </c>
      <c r="CA6" s="2" t="str">
        <f t="shared" si="12"/>
        <v>W</v>
      </c>
      <c r="CB6" s="2" t="str">
        <f t="shared" si="12"/>
        <v>T</v>
      </c>
      <c r="CC6" s="2" t="str">
        <f t="shared" si="12"/>
        <v>F</v>
      </c>
      <c r="CD6" s="2" t="str">
        <f t="shared" si="12"/>
        <v>S</v>
      </c>
      <c r="CE6" s="2" t="str">
        <f t="shared" si="12"/>
        <v>S</v>
      </c>
      <c r="CF6" s="2" t="str">
        <f>LEFT(TEXT(CF5,"ddd"), 1)</f>
        <v>M</v>
      </c>
      <c r="CG6" s="2" t="str">
        <f t="shared" ref="CG6:CL6" si="13">LEFT(TEXT(CG5,"ddd"), 1)</f>
        <v>T</v>
      </c>
      <c r="CH6" s="2" t="str">
        <f t="shared" si="13"/>
        <v>W</v>
      </c>
      <c r="CI6" s="2" t="str">
        <f t="shared" si="13"/>
        <v>T</v>
      </c>
      <c r="CJ6" s="2" t="str">
        <f t="shared" si="13"/>
        <v>F</v>
      </c>
      <c r="CK6" s="2" t="str">
        <f t="shared" si="13"/>
        <v>S</v>
      </c>
      <c r="CL6" s="2" t="str">
        <f t="shared" si="13"/>
        <v>S</v>
      </c>
      <c r="CM6" s="2" t="str">
        <f>LEFT(TEXT(CM5,"ddd"), 1)</f>
        <v>M</v>
      </c>
      <c r="CN6" s="2" t="str">
        <f t="shared" ref="CN6:CS6" si="14">LEFT(TEXT(CN5,"ddd"), 1)</f>
        <v>T</v>
      </c>
      <c r="CO6" s="2" t="str">
        <f t="shared" si="14"/>
        <v>W</v>
      </c>
      <c r="CP6" s="2" t="str">
        <f t="shared" si="14"/>
        <v>T</v>
      </c>
      <c r="CQ6" s="2" t="str">
        <f t="shared" si="14"/>
        <v>F</v>
      </c>
      <c r="CR6" s="2" t="str">
        <f t="shared" si="14"/>
        <v>S</v>
      </c>
      <c r="CS6" s="2" t="str">
        <f t="shared" si="14"/>
        <v>S</v>
      </c>
      <c r="CT6" s="2" t="str">
        <f>LEFT(TEXT(CT5,"ddd"), 1)</f>
        <v>M</v>
      </c>
      <c r="CU6" s="2" t="str">
        <f t="shared" ref="CU6:CZ6" si="15">LEFT(TEXT(CU5,"ddd"), 1)</f>
        <v>T</v>
      </c>
      <c r="CV6" s="2" t="str">
        <f t="shared" si="15"/>
        <v>W</v>
      </c>
      <c r="CW6" s="2" t="str">
        <f t="shared" si="15"/>
        <v>T</v>
      </c>
      <c r="CX6" s="2" t="str">
        <f t="shared" si="15"/>
        <v>F</v>
      </c>
      <c r="CY6" s="2" t="str">
        <f t="shared" si="15"/>
        <v>S</v>
      </c>
      <c r="CZ6" s="2" t="str">
        <f t="shared" si="15"/>
        <v>S</v>
      </c>
      <c r="DA6" s="2" t="str">
        <f>LEFT(TEXT(DA5,"ddd"), 1)</f>
        <v>M</v>
      </c>
      <c r="DB6" s="2" t="str">
        <f t="shared" ref="DB6:DG6" si="16">LEFT(TEXT(DB5,"ddd"), 1)</f>
        <v>T</v>
      </c>
      <c r="DC6" s="2" t="str">
        <f t="shared" si="16"/>
        <v>W</v>
      </c>
      <c r="DD6" s="2" t="str">
        <f t="shared" si="16"/>
        <v>T</v>
      </c>
      <c r="DE6" s="2" t="str">
        <f t="shared" si="16"/>
        <v>F</v>
      </c>
      <c r="DF6" s="2" t="str">
        <f t="shared" si="16"/>
        <v>S</v>
      </c>
      <c r="DG6" s="2" t="str">
        <f t="shared" si="16"/>
        <v>S</v>
      </c>
      <c r="DH6" s="2" t="str">
        <f>LEFT(TEXT(DH5,"ddd"), 1)</f>
        <v>M</v>
      </c>
      <c r="DI6" s="2" t="str">
        <f t="shared" ref="DI6:DN6" si="17">LEFT(TEXT(DI5,"ddd"), 1)</f>
        <v>T</v>
      </c>
      <c r="DJ6" s="2" t="str">
        <f t="shared" si="17"/>
        <v>W</v>
      </c>
      <c r="DK6" s="2" t="str">
        <f t="shared" si="17"/>
        <v>T</v>
      </c>
      <c r="DL6" s="2" t="str">
        <f t="shared" si="17"/>
        <v>F</v>
      </c>
      <c r="DM6" s="2" t="str">
        <f t="shared" si="17"/>
        <v>S</v>
      </c>
      <c r="DN6" s="2" t="str">
        <f t="shared" si="17"/>
        <v>S</v>
      </c>
    </row>
    <row r="7" spans="1:118" x14ac:dyDescent="0.2">
      <c r="A7" s="15" t="s">
        <v>10</v>
      </c>
      <c r="B7" s="15"/>
      <c r="C7" s="13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</row>
    <row r="8" spans="1:118" x14ac:dyDescent="0.2">
      <c r="A8" s="4" t="s">
        <v>14</v>
      </c>
      <c r="B8" s="4" t="s">
        <v>13</v>
      </c>
      <c r="C8" s="13">
        <v>0.5</v>
      </c>
      <c r="D8" s="14">
        <v>44984</v>
      </c>
      <c r="E8" s="18">
        <v>45002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x14ac:dyDescent="0.2">
      <c r="A9" s="4" t="s">
        <v>11</v>
      </c>
      <c r="B9" s="4" t="s">
        <v>15</v>
      </c>
      <c r="C9" s="13">
        <v>1</v>
      </c>
      <c r="D9" s="14">
        <v>44984</v>
      </c>
      <c r="E9" s="18">
        <v>44988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</row>
    <row r="10" spans="1:118" x14ac:dyDescent="0.2">
      <c r="A10" s="4" t="s">
        <v>16</v>
      </c>
      <c r="B10" s="4" t="s">
        <v>13</v>
      </c>
      <c r="C10" s="13">
        <v>1</v>
      </c>
      <c r="D10" s="14">
        <v>44984</v>
      </c>
      <c r="E10" s="18">
        <v>45005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</row>
    <row r="11" spans="1:118" x14ac:dyDescent="0.2">
      <c r="A11" s="4" t="s">
        <v>17</v>
      </c>
      <c r="B11" s="4" t="s">
        <v>13</v>
      </c>
      <c r="C11" s="13">
        <v>0.1</v>
      </c>
      <c r="D11" s="14">
        <v>44984</v>
      </c>
      <c r="E11" s="18">
        <v>45009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</row>
    <row r="12" spans="1:118" x14ac:dyDescent="0.2">
      <c r="A12" s="4" t="s">
        <v>21</v>
      </c>
      <c r="B12" s="4" t="s">
        <v>18</v>
      </c>
      <c r="C12" s="13">
        <v>1</v>
      </c>
      <c r="D12" s="14">
        <v>44984</v>
      </c>
      <c r="E12" s="18">
        <v>44995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</row>
    <row r="13" spans="1:118" x14ac:dyDescent="0.2">
      <c r="A13" s="4" t="s">
        <v>22</v>
      </c>
      <c r="B13" s="4" t="s">
        <v>18</v>
      </c>
      <c r="C13" s="13">
        <v>1</v>
      </c>
      <c r="D13" s="14">
        <v>44984</v>
      </c>
      <c r="E13" s="18">
        <v>45016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</row>
    <row r="14" spans="1:118" x14ac:dyDescent="0.2">
      <c r="A14" s="4" t="s">
        <v>33</v>
      </c>
      <c r="B14" s="4" t="s">
        <v>18</v>
      </c>
      <c r="C14" s="13">
        <v>0.7</v>
      </c>
      <c r="D14" s="14">
        <v>44984</v>
      </c>
      <c r="E14" s="18">
        <v>45016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 spans="1:118" x14ac:dyDescent="0.2">
      <c r="A15" s="4" t="s">
        <v>34</v>
      </c>
      <c r="B15" s="4" t="s">
        <v>18</v>
      </c>
      <c r="C15" s="13">
        <v>0.7</v>
      </c>
      <c r="D15" s="14">
        <v>44984</v>
      </c>
      <c r="E15" s="18">
        <v>45016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</row>
    <row r="16" spans="1:118" x14ac:dyDescent="0.2">
      <c r="A16" s="4" t="s">
        <v>35</v>
      </c>
      <c r="B16" s="4" t="s">
        <v>18</v>
      </c>
      <c r="C16" s="13">
        <v>0.7</v>
      </c>
      <c r="D16" s="14">
        <v>44984</v>
      </c>
      <c r="E16" s="18">
        <v>45016</v>
      </c>
      <c r="F16" s="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</row>
    <row r="17" spans="1:118" x14ac:dyDescent="0.2">
      <c r="A17" s="4" t="s">
        <v>19</v>
      </c>
      <c r="B17" s="4" t="s">
        <v>29</v>
      </c>
      <c r="C17" s="13">
        <v>1</v>
      </c>
      <c r="D17" s="14">
        <v>44984</v>
      </c>
      <c r="E17" s="18">
        <v>45016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</row>
    <row r="18" spans="1:118" x14ac:dyDescent="0.2">
      <c r="A18" s="4" t="s">
        <v>20</v>
      </c>
      <c r="B18" s="4" t="s">
        <v>29</v>
      </c>
      <c r="C18" s="13">
        <v>1</v>
      </c>
      <c r="D18" s="14">
        <v>44984</v>
      </c>
      <c r="E18" s="18">
        <v>45016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</row>
    <row r="19" spans="1:118" x14ac:dyDescent="0.2">
      <c r="A19" s="4" t="s">
        <v>36</v>
      </c>
      <c r="B19" s="4" t="s">
        <v>18</v>
      </c>
      <c r="C19" s="13">
        <v>0.7</v>
      </c>
      <c r="D19" s="14">
        <v>44984</v>
      </c>
      <c r="E19" s="18">
        <v>45077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 spans="1:118" x14ac:dyDescent="0.2">
      <c r="A20" s="4" t="s">
        <v>37</v>
      </c>
      <c r="B20" s="4" t="s">
        <v>18</v>
      </c>
      <c r="C20" s="13">
        <v>0.7</v>
      </c>
      <c r="D20" s="14">
        <v>44984</v>
      </c>
      <c r="E20" s="18">
        <v>45077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</row>
    <row r="21" spans="1:118" x14ac:dyDescent="0.2">
      <c r="A21" s="4" t="s">
        <v>38</v>
      </c>
      <c r="B21" s="4" t="s">
        <v>18</v>
      </c>
      <c r="C21" s="13">
        <v>0.7</v>
      </c>
      <c r="D21" s="14">
        <v>44984</v>
      </c>
      <c r="E21" s="18">
        <v>45077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</row>
    <row r="22" spans="1:118" x14ac:dyDescent="0.2">
      <c r="A22" s="4" t="s">
        <v>23</v>
      </c>
      <c r="B22" s="4" t="s">
        <v>13</v>
      </c>
      <c r="C22" s="13">
        <v>0</v>
      </c>
      <c r="D22" s="14">
        <v>44991</v>
      </c>
      <c r="E22" s="18">
        <v>45077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</row>
    <row r="23" spans="1:118" x14ac:dyDescent="0.2">
      <c r="A23" s="4" t="s">
        <v>30</v>
      </c>
      <c r="B23" s="4" t="s">
        <v>29</v>
      </c>
      <c r="C23" s="13">
        <v>0</v>
      </c>
      <c r="D23" s="14"/>
      <c r="E23" s="18"/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</row>
    <row r="24" spans="1:118" x14ac:dyDescent="0.2">
      <c r="A24" s="4" t="s">
        <v>31</v>
      </c>
      <c r="B24" s="4" t="s">
        <v>32</v>
      </c>
      <c r="C24" s="13">
        <v>0</v>
      </c>
      <c r="D24" s="14"/>
      <c r="E24" s="18"/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 spans="1:118" x14ac:dyDescent="0.2">
      <c r="A25" s="4" t="s">
        <v>39</v>
      </c>
      <c r="B25" s="4" t="s">
        <v>13</v>
      </c>
      <c r="C25" s="13">
        <v>0</v>
      </c>
      <c r="D25" s="14"/>
      <c r="E25" s="14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</row>
  </sheetData>
  <mergeCells count="16">
    <mergeCell ref="AP4:AV4"/>
    <mergeCell ref="G4:M4"/>
    <mergeCell ref="N4:T4"/>
    <mergeCell ref="U4:AA4"/>
    <mergeCell ref="AB4:AH4"/>
    <mergeCell ref="AI4:AO4"/>
    <mergeCell ref="CM4:CS4"/>
    <mergeCell ref="CT4:CZ4"/>
    <mergeCell ref="DA4:DG4"/>
    <mergeCell ref="DH4:DN4"/>
    <mergeCell ref="AW4:BC4"/>
    <mergeCell ref="BD4:BJ4"/>
    <mergeCell ref="BK4:BQ4"/>
    <mergeCell ref="BR4:BX4"/>
    <mergeCell ref="BY4:CE4"/>
    <mergeCell ref="CF4:CL4"/>
  </mergeCells>
  <conditionalFormatting sqref="O15:O16 O11 O22 O24 P8:DN24 G8:N24">
    <cfRule type="expression" dxfId="4" priority="4">
      <formula>AND(G$5&gt;=$D8, G$5&lt;=$E8)</formula>
    </cfRule>
  </conditionalFormatting>
  <conditionalFormatting sqref="G5:DN25">
    <cfRule type="expression" dxfId="3" priority="3">
      <formula>G$5=TODAY()</formula>
    </cfRule>
  </conditionalFormatting>
  <conditionalFormatting sqref="C7:C25">
    <cfRule type="dataBar" priority="2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{FB9B8B93-BF8C-E941-923A-F9F906849003}</x14:id>
        </ext>
      </extLst>
    </cfRule>
  </conditionalFormatting>
  <conditionalFormatting sqref="G7:DN25">
    <cfRule type="expression" dxfId="2" priority="1">
      <formula>1*AND(G$5&gt;=task_start,G$5&lt;=task_start+(task_progress*(task_end-task_start+1))-1)</formula>
    </cfRule>
  </conditionalFormatting>
  <conditionalFormatting sqref="P7:DN7 G7:N7">
    <cfRule type="expression" dxfId="1" priority="7">
      <formula>AND(G$5&gt;=#REF!, G$5&lt;=#REF!)</formula>
    </cfRule>
  </conditionalFormatting>
  <conditionalFormatting sqref="G25:DN25">
    <cfRule type="expression" dxfId="0" priority="74">
      <formula>AND(G$5&gt;=$D29, G$5&lt;=$E29)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autoPict="0">
                <anchor moveWithCells="1">
                  <from>
                    <xdr:col>6</xdr:col>
                    <xdr:colOff>0</xdr:colOff>
                    <xdr:row>1</xdr:row>
                    <xdr:rowOff>177800</xdr:rowOff>
                  </from>
                  <to>
                    <xdr:col>23</xdr:col>
                    <xdr:colOff>127000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B8B93-BF8C-E941-923A-F9F90684900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C7:C25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SAP GDM&amp;PE</vt:lpstr>
      <vt:lpstr>SAP MIG</vt:lpstr>
      <vt:lpstr>SAP DU</vt:lpstr>
      <vt:lpstr>SAP SAFETY</vt:lpstr>
      <vt:lpstr>'SAP DU'!display_week</vt:lpstr>
      <vt:lpstr>'SAP MIG'!display_week</vt:lpstr>
      <vt:lpstr>'SAP SAFETY'!display_week</vt:lpstr>
      <vt:lpstr>display_week</vt:lpstr>
      <vt:lpstr>'SAP DU'!project_start</vt:lpstr>
      <vt:lpstr>'SAP MIG'!project_start</vt:lpstr>
      <vt:lpstr>'SAP SAFETY'!project_start</vt:lpstr>
      <vt:lpstr>project_start</vt:lpstr>
      <vt:lpstr>'SAP DU'!task_end</vt:lpstr>
      <vt:lpstr>'SAP GDM&amp;PE'!task_end</vt:lpstr>
      <vt:lpstr>'SAP MIG'!task_end</vt:lpstr>
      <vt:lpstr>'SAP SAFETY'!task_end</vt:lpstr>
      <vt:lpstr>'SAP DU'!task_progress</vt:lpstr>
      <vt:lpstr>'SAP GDM&amp;PE'!task_progress</vt:lpstr>
      <vt:lpstr>'SAP MIG'!task_progress</vt:lpstr>
      <vt:lpstr>'SAP SAFETY'!task_progress</vt:lpstr>
      <vt:lpstr>'SAP DU'!task_start</vt:lpstr>
      <vt:lpstr>'SAP GDM&amp;PE'!task_start</vt:lpstr>
      <vt:lpstr>'SAP MIG'!task_start</vt:lpstr>
      <vt:lpstr>'SAP SAFETY'!task_start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Andaur</dc:creator>
  <cp:lastModifiedBy>Microsoft Office User</cp:lastModifiedBy>
  <dcterms:created xsi:type="dcterms:W3CDTF">2021-01-19T18:53:05Z</dcterms:created>
  <dcterms:modified xsi:type="dcterms:W3CDTF">2023-05-09T15:12:57Z</dcterms:modified>
</cp:coreProperties>
</file>