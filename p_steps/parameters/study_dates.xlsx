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E8E47A2B-95E6-3442-B4C8-49451381C301}" xr6:coauthVersionLast="47" xr6:coauthVersionMax="47" xr10:uidLastSave="{00000000-0000-0000-0000-000000000000}"/>
  <bookViews>
    <workbookView xWindow="0" yWindow="500" windowWidth="28800" windowHeight="1646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17" i="1"/>
  <c r="G16" i="1"/>
  <c r="G15" i="1"/>
  <c r="G14" i="1"/>
  <c r="G13" i="1"/>
  <c r="G12" i="1"/>
  <c r="G11" i="1"/>
  <c r="G23" i="1"/>
  <c r="G19" i="1"/>
  <c r="G20" i="1"/>
  <c r="G21" i="1"/>
  <c r="G22" i="1"/>
  <c r="G18" i="1"/>
</calcChain>
</file>

<file path=xl/sharedStrings.xml><?xml version="1.0" encoding="utf-8"?>
<sst xmlns="http://schemas.openxmlformats.org/spreadsheetml/2006/main" count="196" uniqueCount="52">
  <si>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</si>
  <si>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</si>
  <si>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</si>
  <si>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</si>
  <si>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</si>
  <si>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</si>
  <si>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</si>
  <si>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</si>
  <si>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</si>
  <si>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</si>
  <si>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</si>
  <si>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</si>
  <si>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</si>
  <si>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20191231</t>
  </si>
  <si>
    <t>THL</t>
  </si>
  <si>
    <t>20190331</t>
  </si>
  <si>
    <t>EFFEMERIS</t>
  </si>
  <si>
    <t>20050701</t>
  </si>
  <si>
    <t>Why march in max preg date coverage?</t>
  </si>
  <si>
    <t>Why july in min preg date?</t>
  </si>
  <si>
    <t>GePaRD</t>
  </si>
  <si>
    <t>20181231</t>
  </si>
  <si>
    <t>USLO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</si>
  <si>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</si>
  <si>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</si>
  <si>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</si>
  <si>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</si>
  <si>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</si>
  <si>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</si>
  <si>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</si>
  <si>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</si>
  <si>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</si>
  <si>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</si>
  <si>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</si>
  <si>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</si>
  <si>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</si>
  <si>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</si>
  <si>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</si>
  <si>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When optional lookback is 5 years will i remove this time from start_coverage meaning min_preg_date will become 20090101?</t>
  </si>
  <si>
    <t>20180228</t>
  </si>
  <si>
    <t>Safety</t>
  </si>
  <si>
    <t>Add end coverage or change max preg date</t>
  </si>
  <si>
    <t>20200301</t>
  </si>
  <si>
    <t>This allows only for 3 month look back what about 6 months? Should i change the start_coverage?</t>
  </si>
  <si>
    <t>20080401</t>
  </si>
  <si>
    <t>THL has only 3 months lookback</t>
  </si>
  <si>
    <t>EFEMERIS has only 3 months lookback (or 2.5)</t>
  </si>
  <si>
    <t>comment end date update</t>
  </si>
  <si>
    <t>31.12.2019 acc to SAP, not sure if more with latest update</t>
  </si>
  <si>
    <t>need to check if we have up to 2020 now</t>
  </si>
  <si>
    <t>ARS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</si>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</sst>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3" fillId="0" borderId="0" xfId="0" applyNumberFormat="1" applyFont="1"/>
    <xf numFmtId="49" fontId="0" fillId="2" borderId="0" xfId="0" applyNumberFormat="1" applyFill="1"/>
    <xf numFmtId="49" fontId="0" fillId="3" borderId="0" xfId="0" applyNumberFormat="1" applyFill="1"/>
    <xf numFmtId="0" fontId="0" fillId="3" borderId="0" xfId="0" applyFill="1"/>
    <xf numFmtId="49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31"/>
  <sheetViews>
    <sheetView tabSelected="1" workbookViewId="0">
      <pane xSplit="1" topLeftCell="B1" activePane="topRight" state="frozen"/>
      <selection pane="topRight" activeCell="A31" sqref="A31:XFD31"/>
    </sheetView>
  </sheetViews>
  <sheetFormatPr baseColWidth="10" defaultColWidth="11" defaultRowHeight="16" x14ac:dyDescent="0.2"/>
  <cols>
    <col min="1" max="1" width="14.1640625" style="1" bestFit="1" customWidth="1"/>
    <col min="2" max="2" width="11" style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1" bestFit="1" customWidth="1"/>
    <col min="8" max="8" width="24.6640625" style="1" customWidth="1"/>
    <col min="9" max="9" width="29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47</v>
      </c>
    </row>
    <row r="2" spans="1:9" x14ac:dyDescent="0.2">
      <c r="A2" s="1" t="s">
        <v>30</v>
      </c>
      <c r="B2" s="1" t="s">
        <v>22</v>
      </c>
      <c r="C2" s="1" t="s">
        <v>28</v>
      </c>
      <c r="D2" s="1" t="s">
        <v>13</v>
      </c>
      <c r="E2" s="1" t="s">
        <v>23</v>
      </c>
      <c r="F2" s="1" t="s">
        <v>34</v>
      </c>
      <c r="G2" s="1">
        <v>0</v>
      </c>
      <c r="H2" s="1" t="s">
        <v>43</v>
      </c>
    </row>
    <row r="3" spans="1:9" x14ac:dyDescent="0.2">
      <c r="A3" s="1" t="s">
        <v>30</v>
      </c>
      <c r="B3" s="1" t="s">
        <v>16</v>
      </c>
      <c r="C3" s="1" t="s">
        <v>28</v>
      </c>
      <c r="D3" s="4" t="s">
        <v>11</v>
      </c>
      <c r="E3" s="1" t="s">
        <v>44</v>
      </c>
      <c r="F3" s="1" t="s">
        <v>34</v>
      </c>
      <c r="G3" s="1">
        <v>0</v>
      </c>
    </row>
    <row r="4" spans="1:9" x14ac:dyDescent="0.2">
      <c r="A4" s="1" t="s">
        <v>30</v>
      </c>
      <c r="B4" s="1" t="s">
        <v>12</v>
      </c>
      <c r="C4" s="1" t="s">
        <v>10</v>
      </c>
      <c r="D4" s="1" t="s">
        <v>13</v>
      </c>
      <c r="E4" s="1" t="s">
        <v>33</v>
      </c>
      <c r="F4" s="1" t="s">
        <v>34</v>
      </c>
      <c r="G4" s="1">
        <v>0</v>
      </c>
    </row>
    <row r="5" spans="1:9" x14ac:dyDescent="0.2">
      <c r="A5" s="1" t="s">
        <v>30</v>
      </c>
      <c r="B5" s="1" t="s">
        <v>9</v>
      </c>
      <c r="C5" s="1" t="s">
        <v>10</v>
      </c>
      <c r="D5" s="1" t="s">
        <v>13</v>
      </c>
      <c r="E5" s="1" t="s">
        <v>33</v>
      </c>
      <c r="F5" s="1" t="s">
        <v>34</v>
      </c>
      <c r="G5" s="1">
        <v>0</v>
      </c>
    </row>
    <row r="6" spans="1:9" x14ac:dyDescent="0.2">
      <c r="A6" s="1" t="s">
        <v>30</v>
      </c>
      <c r="B6" s="1" t="s">
        <v>31</v>
      </c>
      <c r="C6" s="1" t="s">
        <v>10</v>
      </c>
      <c r="D6" s="1" t="s">
        <v>13</v>
      </c>
      <c r="E6" s="1" t="s">
        <v>33</v>
      </c>
      <c r="F6" s="1" t="s">
        <v>34</v>
      </c>
      <c r="G6" s="1">
        <v>0</v>
      </c>
      <c r="H6" s="1" t="s">
        <v>32</v>
      </c>
    </row>
    <row r="7" spans="1:9" x14ac:dyDescent="0.2">
      <c r="A7" s="1" t="s">
        <v>30</v>
      </c>
      <c r="B7" s="1" t="s">
        <v>14</v>
      </c>
      <c r="C7" s="1" t="s">
        <v>10</v>
      </c>
      <c r="D7" s="1" t="s">
        <v>21</v>
      </c>
      <c r="E7" s="1" t="s">
        <v>33</v>
      </c>
      <c r="F7" s="1" t="s">
        <v>35</v>
      </c>
      <c r="G7" s="1">
        <v>0</v>
      </c>
    </row>
    <row r="8" spans="1:9" x14ac:dyDescent="0.2">
      <c r="A8" s="1" t="s">
        <v>30</v>
      </c>
      <c r="B8" s="1" t="s">
        <v>20</v>
      </c>
      <c r="C8" s="1" t="s">
        <v>10</v>
      </c>
      <c r="D8" s="2" t="s">
        <v>21</v>
      </c>
      <c r="E8" s="1" t="s">
        <v>33</v>
      </c>
      <c r="F8" s="1" t="s">
        <v>35</v>
      </c>
      <c r="G8" s="1">
        <v>0</v>
      </c>
    </row>
    <row r="9" spans="1:9" x14ac:dyDescent="0.2">
      <c r="A9" s="1" t="s">
        <v>30</v>
      </c>
      <c r="B9" s="1" t="s">
        <v>24</v>
      </c>
      <c r="C9" s="1" t="s">
        <v>29</v>
      </c>
      <c r="D9" s="1" t="s">
        <v>13</v>
      </c>
      <c r="E9" s="1" t="s">
        <v>36</v>
      </c>
      <c r="F9" s="1" t="s">
        <v>34</v>
      </c>
      <c r="G9" s="1">
        <v>0</v>
      </c>
    </row>
    <row r="10" spans="1:9" s="6" customFormat="1" x14ac:dyDescent="0.2">
      <c r="A10" s="5" t="s">
        <v>30</v>
      </c>
      <c r="B10" s="5" t="s">
        <v>50</v>
      </c>
      <c r="C10" s="5" t="s">
        <v>28</v>
      </c>
      <c r="D10" s="5" t="s">
        <v>13</v>
      </c>
      <c r="E10" s="5" t="s">
        <v>23</v>
      </c>
      <c r="F10" s="5" t="s">
        <v>34</v>
      </c>
      <c r="G10" s="5">
        <v>0</v>
      </c>
      <c r="H10" s="5" t="s">
        <v>51</v>
      </c>
      <c r="I10" s="5"/>
    </row>
    <row r="11" spans="1:9" x14ac:dyDescent="0.2">
      <c r="A11" s="1" t="s">
        <v>37</v>
      </c>
      <c r="B11" s="1" t="s">
        <v>14</v>
      </c>
      <c r="C11" s="1" t="s">
        <v>28</v>
      </c>
      <c r="D11" s="1" t="s">
        <v>21</v>
      </c>
      <c r="E11" s="1" t="s">
        <v>44</v>
      </c>
      <c r="F11" s="1" t="s">
        <v>39</v>
      </c>
      <c r="G11" s="1">
        <f>5*360.25</f>
        <v>1801.25</v>
      </c>
      <c r="H11" s="1" t="s">
        <v>45</v>
      </c>
    </row>
    <row r="12" spans="1:9" x14ac:dyDescent="0.2">
      <c r="A12" s="1" t="s">
        <v>37</v>
      </c>
      <c r="B12" s="1" t="s">
        <v>16</v>
      </c>
      <c r="C12" s="1" t="s">
        <v>28</v>
      </c>
      <c r="D12" s="4" t="s">
        <v>11</v>
      </c>
      <c r="E12" s="1" t="s">
        <v>44</v>
      </c>
      <c r="F12" s="1" t="s">
        <v>34</v>
      </c>
      <c r="G12" s="1">
        <f t="shared" ref="G12:G17" si="0">5*360.25</f>
        <v>1801.25</v>
      </c>
      <c r="H12" s="1" t="s">
        <v>46</v>
      </c>
      <c r="I12" s="3" t="s">
        <v>48</v>
      </c>
    </row>
    <row r="13" spans="1:9" x14ac:dyDescent="0.2">
      <c r="A13" s="1" t="s">
        <v>37</v>
      </c>
      <c r="B13" s="1" t="s">
        <v>12</v>
      </c>
      <c r="C13" s="1" t="s">
        <v>28</v>
      </c>
      <c r="D13" s="1" t="s">
        <v>13</v>
      </c>
      <c r="E13" s="1" t="s">
        <v>23</v>
      </c>
      <c r="F13" s="1" t="s">
        <v>34</v>
      </c>
      <c r="G13" s="1">
        <f t="shared" si="0"/>
        <v>1801.25</v>
      </c>
    </row>
    <row r="14" spans="1:9" x14ac:dyDescent="0.2">
      <c r="A14" s="1" t="s">
        <v>37</v>
      </c>
      <c r="B14" s="1" t="s">
        <v>22</v>
      </c>
      <c r="C14" s="1" t="s">
        <v>28</v>
      </c>
      <c r="D14" s="1" t="s">
        <v>13</v>
      </c>
      <c r="E14" s="1" t="s">
        <v>23</v>
      </c>
      <c r="F14" s="1" t="s">
        <v>34</v>
      </c>
      <c r="G14" s="1">
        <f t="shared" si="0"/>
        <v>1801.25</v>
      </c>
      <c r="I14" s="1" t="s">
        <v>49</v>
      </c>
    </row>
    <row r="15" spans="1:9" x14ac:dyDescent="0.2">
      <c r="A15" s="1" t="s">
        <v>37</v>
      </c>
      <c r="B15" s="1" t="s">
        <v>9</v>
      </c>
      <c r="C15" s="1" t="s">
        <v>28</v>
      </c>
      <c r="D15" s="1" t="s">
        <v>11</v>
      </c>
      <c r="E15" s="1" t="s">
        <v>23</v>
      </c>
      <c r="F15" s="1" t="s">
        <v>42</v>
      </c>
      <c r="G15" s="1">
        <f t="shared" si="0"/>
        <v>1801.25</v>
      </c>
    </row>
    <row r="16" spans="1:9" x14ac:dyDescent="0.2">
      <c r="A16" s="1" t="s">
        <v>37</v>
      </c>
      <c r="B16" s="1" t="s">
        <v>24</v>
      </c>
      <c r="C16" s="1" t="s">
        <v>29</v>
      </c>
      <c r="D16" s="1" t="s">
        <v>11</v>
      </c>
      <c r="E16" s="1" t="s">
        <v>25</v>
      </c>
      <c r="F16" s="1" t="s">
        <v>42</v>
      </c>
      <c r="G16" s="1">
        <f t="shared" ref="G16" si="1">5*360.25</f>
        <v>1801.25</v>
      </c>
    </row>
    <row r="17" spans="1:9" s="6" customFormat="1" x14ac:dyDescent="0.2">
      <c r="A17" s="5" t="s">
        <v>37</v>
      </c>
      <c r="B17" s="5" t="s">
        <v>50</v>
      </c>
      <c r="C17" s="5" t="s">
        <v>28</v>
      </c>
      <c r="D17" s="5" t="s">
        <v>13</v>
      </c>
      <c r="E17" s="5" t="s">
        <v>23</v>
      </c>
      <c r="F17" s="5" t="s">
        <v>34</v>
      </c>
      <c r="G17" s="5">
        <f t="shared" si="0"/>
        <v>1801.25</v>
      </c>
      <c r="H17" s="5" t="s">
        <v>51</v>
      </c>
      <c r="I17" s="5"/>
    </row>
    <row r="18" spans="1:9" x14ac:dyDescent="0.2">
      <c r="A18" s="3" t="s">
        <v>8</v>
      </c>
      <c r="B18" s="3" t="s">
        <v>9</v>
      </c>
      <c r="C18" s="3" t="s">
        <v>26</v>
      </c>
      <c r="D18" s="3"/>
      <c r="E18" s="3" t="s">
        <v>10</v>
      </c>
      <c r="F18" s="3" t="s">
        <v>42</v>
      </c>
      <c r="G18" s="3">
        <f>5*360.25</f>
        <v>1801.25</v>
      </c>
      <c r="H18" s="1" t="s">
        <v>38</v>
      </c>
    </row>
    <row r="19" spans="1:9" x14ac:dyDescent="0.2">
      <c r="A19" s="3" t="s">
        <v>8</v>
      </c>
      <c r="B19" s="3" t="s">
        <v>12</v>
      </c>
      <c r="C19" s="3" t="s">
        <v>26</v>
      </c>
      <c r="D19" s="3"/>
      <c r="E19" s="3" t="s">
        <v>10</v>
      </c>
      <c r="F19" s="3" t="s">
        <v>34</v>
      </c>
      <c r="G19" s="3">
        <f t="shared" ref="G19:G24" si="2">5*360.25</f>
        <v>1801.25</v>
      </c>
      <c r="H19" s="1" t="s">
        <v>41</v>
      </c>
    </row>
    <row r="20" spans="1:9" x14ac:dyDescent="0.2">
      <c r="A20" s="3" t="s">
        <v>8</v>
      </c>
      <c r="B20" s="3" t="s">
        <v>14</v>
      </c>
      <c r="C20" s="3" t="s">
        <v>26</v>
      </c>
      <c r="D20" s="3"/>
      <c r="E20" s="3" t="s">
        <v>10</v>
      </c>
      <c r="F20" s="3" t="s">
        <v>15</v>
      </c>
      <c r="G20" s="3">
        <f t="shared" si="2"/>
        <v>1801.25</v>
      </c>
      <c r="H20" s="1" t="s">
        <v>18</v>
      </c>
    </row>
    <row r="21" spans="1:9" x14ac:dyDescent="0.2">
      <c r="A21" s="3" t="s">
        <v>8</v>
      </c>
      <c r="B21" s="3" t="s">
        <v>16</v>
      </c>
      <c r="C21" s="3" t="s">
        <v>27</v>
      </c>
      <c r="D21" s="3"/>
      <c r="E21" s="3" t="s">
        <v>17</v>
      </c>
      <c r="F21" s="3" t="s">
        <v>13</v>
      </c>
      <c r="G21" s="3">
        <f t="shared" si="2"/>
        <v>1801.25</v>
      </c>
      <c r="H21" s="1" t="s">
        <v>19</v>
      </c>
    </row>
    <row r="22" spans="1:9" x14ac:dyDescent="0.2">
      <c r="A22" s="3" t="s">
        <v>8</v>
      </c>
      <c r="B22" s="3" t="s">
        <v>22</v>
      </c>
      <c r="C22" s="3" t="s">
        <v>28</v>
      </c>
      <c r="D22" s="3"/>
      <c r="E22" s="3" t="s">
        <v>23</v>
      </c>
      <c r="F22" s="3" t="s">
        <v>13</v>
      </c>
      <c r="G22" s="3">
        <f t="shared" si="2"/>
        <v>1801.25</v>
      </c>
    </row>
    <row r="23" spans="1:9" x14ac:dyDescent="0.2">
      <c r="A23" s="3" t="s">
        <v>8</v>
      </c>
      <c r="B23" s="3" t="s">
        <v>24</v>
      </c>
      <c r="C23" s="3" t="s">
        <v>29</v>
      </c>
      <c r="D23" s="3"/>
      <c r="E23" s="3" t="s">
        <v>25</v>
      </c>
      <c r="F23" s="3" t="s">
        <v>13</v>
      </c>
      <c r="G23" s="3">
        <f t="shared" si="2"/>
        <v>1801.25</v>
      </c>
    </row>
    <row r="24" spans="1:9" s="6" customFormat="1" x14ac:dyDescent="0.2">
      <c r="A24" s="7" t="s">
        <v>8</v>
      </c>
      <c r="B24" s="7" t="s">
        <v>50</v>
      </c>
      <c r="C24" s="7" t="s">
        <v>28</v>
      </c>
      <c r="D24" s="7"/>
      <c r="E24" s="7" t="s">
        <v>23</v>
      </c>
      <c r="F24" s="7" t="s">
        <v>13</v>
      </c>
      <c r="G24" s="7">
        <f t="shared" si="2"/>
        <v>1801.25</v>
      </c>
      <c r="H24" s="5" t="s">
        <v>51</v>
      </c>
      <c r="I24" s="5"/>
    </row>
    <row r="25" spans="1:9" x14ac:dyDescent="0.2">
      <c r="A25" s="1" t="s">
        <v>40</v>
      </c>
      <c r="B25" s="1" t="s">
        <v>14</v>
      </c>
      <c r="C25" s="1" t="s">
        <v>26</v>
      </c>
      <c r="D25" s="1" t="s">
        <v>21</v>
      </c>
      <c r="E25" s="1" t="s">
        <v>10</v>
      </c>
      <c r="F25" s="1" t="s">
        <v>35</v>
      </c>
      <c r="G25" s="1">
        <v>0</v>
      </c>
    </row>
    <row r="26" spans="1:9" x14ac:dyDescent="0.2">
      <c r="A26" s="1" t="s">
        <v>40</v>
      </c>
      <c r="B26" s="1" t="s">
        <v>16</v>
      </c>
      <c r="C26" s="1" t="s">
        <v>26</v>
      </c>
      <c r="D26" s="1" t="s">
        <v>13</v>
      </c>
      <c r="E26" s="1" t="s">
        <v>10</v>
      </c>
      <c r="F26" s="1" t="s">
        <v>34</v>
      </c>
      <c r="G26" s="1">
        <v>0</v>
      </c>
    </row>
    <row r="27" spans="1:9" x14ac:dyDescent="0.2">
      <c r="A27" s="1" t="s">
        <v>40</v>
      </c>
      <c r="B27" s="1" t="s">
        <v>12</v>
      </c>
      <c r="C27" s="1" t="s">
        <v>26</v>
      </c>
      <c r="D27" s="1" t="s">
        <v>13</v>
      </c>
      <c r="E27" s="1" t="s">
        <v>10</v>
      </c>
      <c r="F27" s="1" t="s">
        <v>34</v>
      </c>
      <c r="G27" s="1">
        <v>0</v>
      </c>
    </row>
    <row r="28" spans="1:9" x14ac:dyDescent="0.2">
      <c r="A28" s="1" t="s">
        <v>40</v>
      </c>
      <c r="B28" s="1" t="s">
        <v>22</v>
      </c>
      <c r="C28" s="1" t="s">
        <v>28</v>
      </c>
      <c r="D28" s="1" t="s">
        <v>13</v>
      </c>
      <c r="E28" s="1" t="s">
        <v>23</v>
      </c>
      <c r="F28" s="1" t="s">
        <v>34</v>
      </c>
      <c r="G28" s="1">
        <v>0</v>
      </c>
    </row>
    <row r="29" spans="1:9" x14ac:dyDescent="0.2">
      <c r="A29" s="1" t="s">
        <v>40</v>
      </c>
      <c r="B29" s="1" t="s">
        <v>24</v>
      </c>
      <c r="C29" s="1" t="s">
        <v>29</v>
      </c>
      <c r="D29" s="1" t="s">
        <v>13</v>
      </c>
      <c r="E29" s="1" t="s">
        <v>25</v>
      </c>
      <c r="F29" s="1" t="s">
        <v>34</v>
      </c>
      <c r="G29" s="1">
        <v>0</v>
      </c>
    </row>
    <row r="30" spans="1:9" x14ac:dyDescent="0.2">
      <c r="A30" s="1" t="s">
        <v>40</v>
      </c>
      <c r="B30" s="1" t="s">
        <v>9</v>
      </c>
      <c r="C30" s="1" t="s">
        <v>26</v>
      </c>
      <c r="D30" s="1" t="s">
        <v>11</v>
      </c>
      <c r="E30" s="1" t="s">
        <v>10</v>
      </c>
      <c r="F30" s="1" t="s">
        <v>42</v>
      </c>
      <c r="G30" s="1">
        <v>0</v>
      </c>
    </row>
    <row r="31" spans="1:9" s="6" customFormat="1" x14ac:dyDescent="0.2">
      <c r="A31" s="5" t="s">
        <v>40</v>
      </c>
      <c r="B31" s="5" t="s">
        <v>50</v>
      </c>
      <c r="C31" s="5" t="s">
        <v>28</v>
      </c>
      <c r="D31" s="5" t="s">
        <v>13</v>
      </c>
      <c r="E31" s="5" t="s">
        <v>23</v>
      </c>
      <c r="F31" s="5" t="s">
        <v>34</v>
      </c>
      <c r="G31" s="5">
        <v>0</v>
      </c>
      <c r="H31" s="5" t="s">
        <v>51</v>
      </c>
      <c r="I31" s="5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101111ff-a703-44f4-bedb-571a174d899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1bb27bd4-d919-4cde-be8f-c8c01880f38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2023-03-08T09:16:30Z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